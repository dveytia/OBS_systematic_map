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Codebook!$A$3:$AR$843</definedName>
  </definedNames>
  <calcPr calcId="162913"/>
  <customWorkbookViews>
    <customWorkbookView name="By Article_ID" guid="{435B08D9-6543-426A-B980-BC70B1B1999E}" maximized="1" windowWidth="0" windowHeight="0" activeSheetId="0"/>
  </customWorkbookViews>
</workbook>
</file>

<file path=xl/calcChain.xml><?xml version="1.0" encoding="utf-8"?>
<calcChain xmlns="http://schemas.openxmlformats.org/spreadsheetml/2006/main">
  <c r="I34" i="2" l="1"/>
  <c r="I46" i="2" l="1"/>
  <c r="I47" i="2"/>
  <c r="I48" i="2"/>
  <c r="I49" i="2"/>
  <c r="I50" i="2"/>
  <c r="I51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5" i="2"/>
  <c r="I36" i="2"/>
  <c r="I37" i="2"/>
  <c r="I38" i="2"/>
  <c r="I39" i="2"/>
  <c r="I40" i="2"/>
  <c r="I41" i="2"/>
  <c r="I42" i="2"/>
  <c r="I43" i="2"/>
  <c r="I44" i="2"/>
  <c r="I45" i="2"/>
  <c r="I52" i="2"/>
  <c r="I53" i="2"/>
  <c r="I54" i="2"/>
  <c r="I55" i="2"/>
</calcChain>
</file>

<file path=xl/sharedStrings.xml><?xml version="1.0" encoding="utf-8"?>
<sst xmlns="http://schemas.openxmlformats.org/spreadsheetml/2006/main" count="592" uniqueCount="181">
  <si>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</si>
  <si>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</si>
  <si>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</si>
  <si>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</si>
  <si>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</si>
  <si>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</si>
  <si>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</si>
  <si>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</si>
  <si>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</si>
  <si>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</si>
  <si>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</si>
  <si>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</si>
  <si>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</si>
  <si>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</si>
  <si>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</si>
  <si>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</si>
  <si>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</si>
  <si>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</si>
  <si>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</si>
  <si>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</si>
  <si>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</si>
  <si>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</si>
  <si>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</si>
  <si>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</si>
  <si>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</si>
  <si>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</si>
  <si>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</si>
  <si>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</si>
  <si>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</si>
  <si>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</si>
  <si>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</si>
  <si>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</si>
  <si>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</si>
  <si>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</si>
  <si>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</si>
  <si>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</si>
  <si>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</si>
  <si>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</si>
  <si>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</si>
  <si>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</si>
  <si>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</si>
  <si>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</si>
  <si>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</si>
  <si>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</si>
  <si>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</si>
  <si>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</si>
  <si>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</si>
  <si>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</si>
  <si>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</si>
  <si>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</si>
  <si>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</si>
  <si>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</si>
  <si>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</si>
  <si>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</si>
  <si>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</si>
  <si>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</si>
  <si>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</si>
  <si>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</si>
  <si>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</si>
  <si>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</si>
  <si>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</si>
  <si>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</si>
  <si>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</si>
  <si>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</si>
  <si>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</si>
  <si>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</si>
  <si>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</si>
  <si>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</si>
  <si>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</si>
  <si>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</si>
  <si>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</si>
  <si>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</si>
  <si>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</si>
  <si>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</si>
  <si>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</si>
  <si>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</si>
  <si>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</si>
  <si>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</si>
  <si>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</si>
  <si>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</si>
  <si>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</si>
  <si>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</si>
  <si>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</si>
  <si>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</si>
  <si>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</si>
  <si>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</si>
  <si>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</si>
  <si>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</si>
  <si>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</si>
  <si>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Analysis_id</t>
  </si>
  <si>
    <t>Devi</t>
  </si>
  <si>
    <t>M. Increase efficiency</t>
  </si>
  <si>
    <t>Pilot demo</t>
  </si>
  <si>
    <t>Shipping</t>
  </si>
  <si>
    <t>Port infrastructure | Shipping</t>
  </si>
  <si>
    <t>Primary</t>
  </si>
  <si>
    <t>Observational</t>
  </si>
  <si>
    <t>Coastal ocean</t>
  </si>
  <si>
    <t>Oceanic: open-ocean (&lt;=200 m)</t>
  </si>
  <si>
    <t>Coastal ocean | Oceanic: open-ocean (&lt;=200 m)</t>
  </si>
  <si>
    <t>Modern (1900-2023)</t>
  </si>
  <si>
    <t>Small</t>
  </si>
  <si>
    <t>TRUE</t>
  </si>
  <si>
    <t>Engineering</t>
  </si>
  <si>
    <t>Hybrid Electric Solutions for Marine Applications</t>
  </si>
  <si>
    <t>Design - observe/concept/preliminary testing/side effects</t>
  </si>
  <si>
    <t>Secondary - evidence synthesis</t>
  </si>
  <si>
    <t>Article for coding retreived by supplemental search after first coding round</t>
  </si>
  <si>
    <t>Method or technology development</t>
  </si>
  <si>
    <t>Pacific</t>
  </si>
  <si>
    <t>M. Renewables</t>
  </si>
  <si>
    <t>Mathematical prediction/simulation</t>
  </si>
  <si>
    <t>Evaluating future placement/upscaling potential</t>
  </si>
  <si>
    <t>Regional</t>
  </si>
  <si>
    <t>Design - observe/concept/preliminary testing/side effects | Implemented (+continued assessment)</t>
  </si>
  <si>
    <t>Global</t>
  </si>
  <si>
    <t>Renewable energy | Other</t>
  </si>
  <si>
    <t>Atlantic</t>
  </si>
  <si>
    <t>Local</t>
  </si>
  <si>
    <t>Economics</t>
  </si>
  <si>
    <t>Hybrid Offshore Power Generation</t>
  </si>
  <si>
    <t>Seabed mining/oil &amp; gas</t>
  </si>
  <si>
    <t>Indian</t>
  </si>
  <si>
    <t>Oceanic: open-ocean (&lt;=200 m) | Coastal ocean</t>
  </si>
  <si>
    <t>Powering Offshore Installations with Wind Energy</t>
  </si>
  <si>
    <t>Design - observe/concept/preliminary testing/side effects | Evaluating future placement/upscaling potential</t>
  </si>
  <si>
    <t>Shipping | Port infrastructure</t>
  </si>
  <si>
    <t>Forecast</t>
  </si>
  <si>
    <t>Modern (1900-2023) | Forecast</t>
  </si>
  <si>
    <t>Arctic</t>
  </si>
  <si>
    <t>Mathematical prediction/simulation | Experimental in-situ</t>
  </si>
  <si>
    <t>Economics | Engineering</t>
  </si>
  <si>
    <t>M. CO2 removal or storage</t>
  </si>
  <si>
    <t>Bioenergy | Weathering and alkinalization</t>
  </si>
  <si>
    <t>Acidification</t>
  </si>
  <si>
    <t>Assessment of the Potential of Energy Extracted from Waves and Wind to Supply Offshore Oil Platforms Operating in the Gulf of Mexico</t>
  </si>
  <si>
    <t>Pilot demo | Design - observe/concept/preliminary testing/side effects</t>
  </si>
  <si>
    <t>Method or technology development | Mathematical prediction/simulation</t>
  </si>
  <si>
    <t>Design - observe/concept/preliminary testing/side effects | Pilot demo</t>
  </si>
  <si>
    <t>Shipping | Other</t>
  </si>
  <si>
    <t>Large</t>
  </si>
  <si>
    <t>Mathematical prediction/simulation | Method or technology development</t>
  </si>
  <si>
    <t>Review of Alternative Energy Resource for the Future Ship Power</t>
  </si>
  <si>
    <t>Mathematical prediction/simulation | Method or technology development | Expert opinion</t>
  </si>
  <si>
    <t>Fuel Saving with a Hybrid Power System for an Electric Ferry</t>
  </si>
  <si>
    <t>Optimal Design of a Hybrid Energy System for the Supply of Clean and Stable Energy to Offshore Installations</t>
  </si>
  <si>
    <t>Other | Shipping</t>
  </si>
  <si>
    <t>Mathematical prediction/simulation | Observational</t>
  </si>
  <si>
    <t>Oceanic: open-ocean (&lt;=200 m) | Oceanic: deep-ocean (&gt; 200 m)</t>
  </si>
  <si>
    <t>Shore power as a first step toward shipping decarbonization and related policy impact on a dry bulk cargo carrier</t>
  </si>
  <si>
    <t>Hydraulic design and performance analysis on a small pump-turbine system for ocean renewable energy storage system</t>
  </si>
  <si>
    <t>Stand-alone island daily power management using a tidal turbine farm and an ocean compressed air energy storage system</t>
  </si>
  <si>
    <t>Green technologies for offshore industry</t>
  </si>
  <si>
    <t>Optimizing hybrid offshore wind farms for cost-competitive hydrogen production in Germany</t>
  </si>
  <si>
    <t>Techno-energy-economic assessment of a high capacity offshore wind-pumped-storage hybrid power system for regional power system</t>
  </si>
  <si>
    <t>Innovative Hybrid Energy System for stable Power and eat Supply in offshore oil \&amp; gas Installation (HES-OFF): System Design and Grid Stability</t>
  </si>
  <si>
    <t>Design and evaluation of LNG-hydrogen hybrid propulsion system for LNG carrier</t>
  </si>
  <si>
    <t>Reducing cost and environmental impacts through hybrid power options</t>
  </si>
  <si>
    <t>An alternative and hybrid propulsion for merchant ships: current state and perspective</t>
  </si>
  <si>
    <t>Sizing and Control of a Hybrid Ship Propulsion System Using Multi-Objective Double-Layer Optimization</t>
  </si>
  <si>
    <t>FUEL CELLS IN DEEP-SEA SHIPPING: CHALLENGING PATH AHEAD</t>
  </si>
  <si>
    <t>Comparative study of energy efficiency and cost optimization in low-emission marine power systems with alternative fuels</t>
  </si>
  <si>
    <t>Affordable CO2 negative emission through hydrogen from biomass, ocean liming, and CO2 storage</t>
  </si>
  <si>
    <t>ElectroÃ¢â‚¬Âtechnologies for energy efficiency improvement and low carbon emission in maritime transport</t>
  </si>
  <si>
    <t>Navigating within the Safe Operating Space with Carbon Capture On-Board</t>
  </si>
  <si>
    <t>Sustainable Hybrid Marine Power Systems for Power Management Optimisation: A Review</t>
  </si>
  <si>
    <t>Hybrid power and propulsion systems for ships: Current status and future challenges</t>
  </si>
  <si>
    <t>Design and Simulation of Ammonia-Fueled SOFC-ICE Hybrid Power System for Ship Application</t>
  </si>
  <si>
    <t>Optimizing Fuel Savings and Power System Reliability for All-Electric Hybrid Vessels using Model Predictive Control</t>
  </si>
  <si>
    <t>Environmental regulations spark power savings, reliability and safety</t>
  </si>
  <si>
    <t>Feature 3: SE Asia: Backward shipping must shape up</t>
  </si>
  <si>
    <t>Thermodynamic analysis of a combined gas turbine power plant with a solid oxide fuel cell for marine applications</t>
  </si>
  <si>
    <t>Hybrid propulsion: True hybrid power for marine propulsion</t>
  </si>
  <si>
    <t>Assessment of wind energy in the United States Gulf of Mexico area as power supply for offshore oil platforms</t>
  </si>
  <si>
    <t>Energy storage analysis to increase large ship fuel efficiency</t>
  </si>
  <si>
    <t>Comparative study of a hybrid research vessel utilizing batteries or hydrogen fuel cells</t>
  </si>
  <si>
    <t>Energy analysis of a combined solid oxide fuel cell with a steam turbine power plant for marine applications</t>
  </si>
  <si>
    <t>Weighted average representation for estimation of fuel saving and emissions reduction in hybrid marine power plants with strategic loading</t>
  </si>
  <si>
    <t>OFFSHORE WIND FARMS AND ISOLATED OIL AND GAS PLATFORMS: PERSPECTIVES AND POSSIBILITIES</t>
  </si>
  <si>
    <t>Thermal power plant efficiency enhancement with Ocean Thermal Energy Conversion</t>
  </si>
  <si>
    <t>Renewable wave energy potential for the sustainable offshore oil platforms in South China 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</si>
</sst>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5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3"/>
  <sheetViews>
    <sheetView tabSelected="1" zoomScale="120" zoomScaleNormal="120" workbookViewId="0">
      <pane ySplit="5" topLeftCell="A36" activePane="bottomLeft" state="frozen"/>
      <selection pane="bottomLeft" activeCell="B48" sqref="B48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89</v>
      </c>
      <c r="B4" s="44" t="s">
        <v>24</v>
      </c>
      <c r="C4" s="45" t="s">
        <v>25</v>
      </c>
      <c r="D4" s="60" t="s">
        <v>26</v>
      </c>
      <c r="E4" s="60" t="s">
        <v>27</v>
      </c>
      <c r="F4" s="60" t="s">
        <v>28</v>
      </c>
      <c r="G4" s="60" t="s">
        <v>29</v>
      </c>
      <c r="H4" s="47" t="s">
        <v>30</v>
      </c>
      <c r="I4" s="44" t="s">
        <v>31</v>
      </c>
      <c r="J4" s="8" t="s">
        <v>32</v>
      </c>
      <c r="K4" s="24" t="s">
        <v>33</v>
      </c>
      <c r="L4" s="31" t="s">
        <v>34</v>
      </c>
      <c r="M4" s="9" t="s">
        <v>35</v>
      </c>
      <c r="N4" s="10" t="s">
        <v>36</v>
      </c>
      <c r="O4" s="64" t="s">
        <v>37</v>
      </c>
      <c r="P4" s="7" t="s">
        <v>38</v>
      </c>
      <c r="Q4" s="7" t="s">
        <v>39</v>
      </c>
      <c r="R4" s="7" t="s">
        <v>40</v>
      </c>
      <c r="S4" s="7" t="s">
        <v>41</v>
      </c>
      <c r="T4" s="7" t="s">
        <v>42</v>
      </c>
      <c r="U4" s="7" t="s">
        <v>43</v>
      </c>
      <c r="V4" s="7" t="s">
        <v>44</v>
      </c>
      <c r="W4" s="32" t="s">
        <v>45</v>
      </c>
      <c r="X4" s="32" t="s">
        <v>46</v>
      </c>
      <c r="Y4" s="38" t="s">
        <v>47</v>
      </c>
      <c r="Z4" s="38" t="s">
        <v>48</v>
      </c>
      <c r="AA4" s="38" t="s">
        <v>49</v>
      </c>
      <c r="AB4" s="38" t="s">
        <v>50</v>
      </c>
      <c r="AC4" s="40" t="s">
        <v>51</v>
      </c>
      <c r="AD4" s="40" t="s">
        <v>52</v>
      </c>
      <c r="AE4" s="41" t="s">
        <v>53</v>
      </c>
      <c r="AF4" s="41" t="s">
        <v>54</v>
      </c>
      <c r="AG4" s="41" t="s">
        <v>55</v>
      </c>
      <c r="AH4" s="41" t="s">
        <v>56</v>
      </c>
      <c r="AI4" s="41" t="s">
        <v>57</v>
      </c>
      <c r="AJ4" s="41" t="s">
        <v>58</v>
      </c>
      <c r="AK4" s="62" t="s">
        <v>59</v>
      </c>
      <c r="AL4" s="62" t="s">
        <v>60</v>
      </c>
      <c r="AM4" s="62" t="s">
        <v>61</v>
      </c>
      <c r="AN4" s="62" t="s">
        <v>62</v>
      </c>
      <c r="AO4" s="56" t="s">
        <v>63</v>
      </c>
      <c r="AP4" s="58" t="s">
        <v>64</v>
      </c>
    </row>
    <row r="5" spans="1:42" ht="14.25" customHeight="1" x14ac:dyDescent="0.35">
      <c r="A5" s="11" t="s">
        <v>65</v>
      </c>
      <c r="B5" s="11" t="s">
        <v>65</v>
      </c>
      <c r="C5" s="14" t="s">
        <v>66</v>
      </c>
      <c r="D5" s="11" t="s">
        <v>67</v>
      </c>
      <c r="E5" s="11" t="s">
        <v>67</v>
      </c>
      <c r="F5" s="11" t="s">
        <v>68</v>
      </c>
      <c r="G5" s="11" t="s">
        <v>67</v>
      </c>
      <c r="H5" s="12" t="s">
        <v>69</v>
      </c>
      <c r="I5" s="12" t="s">
        <v>70</v>
      </c>
      <c r="J5" s="25" t="s">
        <v>71</v>
      </c>
      <c r="K5" s="11" t="s">
        <v>72</v>
      </c>
      <c r="L5" s="11" t="s">
        <v>73</v>
      </c>
      <c r="M5" s="11" t="s">
        <v>74</v>
      </c>
      <c r="N5" s="28" t="s">
        <v>75</v>
      </c>
      <c r="O5" s="11" t="s">
        <v>76</v>
      </c>
      <c r="P5" s="11" t="s">
        <v>77</v>
      </c>
      <c r="Q5" s="11" t="s">
        <v>78</v>
      </c>
      <c r="R5" s="11" t="s">
        <v>79</v>
      </c>
      <c r="S5" s="12" t="s">
        <v>80</v>
      </c>
      <c r="T5" s="12" t="s">
        <v>81</v>
      </c>
      <c r="U5" s="11" t="s">
        <v>82</v>
      </c>
      <c r="V5" s="11" t="s">
        <v>83</v>
      </c>
      <c r="W5" s="11" t="s">
        <v>68</v>
      </c>
      <c r="X5" s="11" t="s">
        <v>84</v>
      </c>
      <c r="Y5" s="11" t="s">
        <v>68</v>
      </c>
      <c r="Z5" s="11" t="s">
        <v>85</v>
      </c>
      <c r="AA5" s="11" t="s">
        <v>73</v>
      </c>
      <c r="AB5" s="28" t="s">
        <v>86</v>
      </c>
      <c r="AC5" s="11" t="s">
        <v>68</v>
      </c>
      <c r="AD5" s="11" t="s">
        <v>68</v>
      </c>
      <c r="AE5" s="11" t="s">
        <v>68</v>
      </c>
      <c r="AF5" s="11" t="s">
        <v>68</v>
      </c>
      <c r="AG5" s="11" t="s">
        <v>68</v>
      </c>
      <c r="AH5" s="11" t="s">
        <v>68</v>
      </c>
      <c r="AI5" s="11" t="s">
        <v>68</v>
      </c>
      <c r="AJ5" s="11" t="s">
        <v>68</v>
      </c>
      <c r="AK5" s="11" t="s">
        <v>87</v>
      </c>
      <c r="AL5" s="11" t="s">
        <v>68</v>
      </c>
      <c r="AM5" s="11" t="s">
        <v>68</v>
      </c>
      <c r="AN5" s="11" t="s">
        <v>68</v>
      </c>
      <c r="AO5" s="11" t="s">
        <v>88</v>
      </c>
      <c r="AP5" s="12" t="s">
        <v>67</v>
      </c>
    </row>
    <row r="6" spans="1:42" ht="14.25" customHeight="1" x14ac:dyDescent="0.35">
      <c r="A6" s="16">
        <v>2022.3106</v>
      </c>
      <c r="B6" s="17" t="s">
        <v>149</v>
      </c>
      <c r="C6" s="18">
        <v>2022</v>
      </c>
      <c r="D6" s="65" t="s">
        <v>90</v>
      </c>
      <c r="E6" s="5"/>
      <c r="F6" s="5" t="b">
        <v>1</v>
      </c>
      <c r="G6" s="5"/>
      <c r="H6" s="5">
        <v>1</v>
      </c>
      <c r="I6" s="29" t="str">
        <f t="shared" ref="I6:I37" si="0">IF(ISNUMBER(H6),CONCATENATE(A6, ".",H6))</f>
        <v>2022.3106.1</v>
      </c>
      <c r="J6" s="5" t="s">
        <v>91</v>
      </c>
      <c r="K6" s="30" t="s">
        <v>92</v>
      </c>
      <c r="L6" s="30" t="s">
        <v>94</v>
      </c>
      <c r="M6" s="30"/>
      <c r="N6" s="30"/>
      <c r="O6" s="30"/>
      <c r="P6" s="5" t="s">
        <v>95</v>
      </c>
      <c r="Q6" s="30" t="s">
        <v>96</v>
      </c>
      <c r="R6" s="30"/>
      <c r="S6" s="22"/>
      <c r="T6" s="22" t="s">
        <v>99</v>
      </c>
      <c r="U6" s="30" t="s">
        <v>100</v>
      </c>
      <c r="V6" s="30" t="s">
        <v>101</v>
      </c>
      <c r="W6" s="5" t="s">
        <v>102</v>
      </c>
      <c r="X6" s="5"/>
      <c r="Y6" s="5"/>
      <c r="Z6" s="30"/>
      <c r="AA6" s="30"/>
      <c r="AB6" s="30"/>
      <c r="AC6" s="5"/>
      <c r="AD6" s="5"/>
      <c r="AE6" s="5"/>
      <c r="AF6" s="5"/>
      <c r="AG6" s="5"/>
      <c r="AH6" s="5"/>
      <c r="AI6" s="5"/>
      <c r="AJ6" s="5" t="s">
        <v>102</v>
      </c>
      <c r="AK6" s="5"/>
      <c r="AL6" s="5"/>
      <c r="AM6" s="5"/>
      <c r="AN6" s="5"/>
      <c r="AO6" s="30" t="s">
        <v>103</v>
      </c>
      <c r="AP6" s="65" t="s">
        <v>107</v>
      </c>
    </row>
    <row r="7" spans="1:42" ht="14.25" customHeight="1" x14ac:dyDescent="0.35">
      <c r="A7" s="16">
        <v>2021.3007</v>
      </c>
      <c r="B7" s="17" t="s">
        <v>104</v>
      </c>
      <c r="C7" s="18">
        <v>2021</v>
      </c>
      <c r="D7" s="65" t="s">
        <v>90</v>
      </c>
      <c r="E7" s="5"/>
      <c r="F7" s="5" t="b">
        <v>1</v>
      </c>
      <c r="G7" s="5"/>
      <c r="H7" s="5">
        <v>1</v>
      </c>
      <c r="I7" s="29" t="str">
        <f t="shared" si="0"/>
        <v>2021.3007.1</v>
      </c>
      <c r="J7" s="5" t="s">
        <v>91</v>
      </c>
      <c r="K7" s="30" t="s">
        <v>105</v>
      </c>
      <c r="L7" s="30" t="s">
        <v>93</v>
      </c>
      <c r="M7" s="30"/>
      <c r="N7" s="30"/>
      <c r="O7" s="30"/>
      <c r="P7" s="5" t="s">
        <v>106</v>
      </c>
      <c r="Q7" s="30"/>
      <c r="R7" s="30"/>
      <c r="S7" s="23"/>
      <c r="T7" s="23" t="s">
        <v>99</v>
      </c>
      <c r="U7" s="30"/>
      <c r="V7" s="30"/>
      <c r="W7" s="5" t="s">
        <v>102</v>
      </c>
      <c r="X7" s="5"/>
      <c r="Y7" s="5"/>
      <c r="Z7" s="30"/>
      <c r="AA7" s="30"/>
      <c r="AB7" s="30"/>
      <c r="AC7" s="5" t="s">
        <v>102</v>
      </c>
      <c r="AD7" s="5" t="s">
        <v>102</v>
      </c>
      <c r="AE7" s="5"/>
      <c r="AF7" s="5"/>
      <c r="AG7" s="5"/>
      <c r="AH7" s="5"/>
      <c r="AI7" s="5"/>
      <c r="AJ7" s="5"/>
      <c r="AK7" s="5"/>
      <c r="AL7" s="5"/>
      <c r="AM7" s="5"/>
      <c r="AN7" s="5"/>
      <c r="AO7" s="30" t="s">
        <v>103</v>
      </c>
      <c r="AP7" s="5"/>
    </row>
    <row r="8" spans="1:42" ht="14.25" customHeight="1" x14ac:dyDescent="0.35">
      <c r="A8" s="16">
        <v>2017.144</v>
      </c>
      <c r="B8" s="17" t="s">
        <v>150</v>
      </c>
      <c r="C8" s="18">
        <v>2017</v>
      </c>
      <c r="D8" s="65" t="s">
        <v>90</v>
      </c>
      <c r="E8" s="5"/>
      <c r="F8" s="5" t="b">
        <v>1</v>
      </c>
      <c r="G8" s="5"/>
      <c r="H8" s="5">
        <v>1</v>
      </c>
      <c r="I8" s="29" t="str">
        <f t="shared" si="0"/>
        <v>2017.144.1</v>
      </c>
      <c r="J8" s="5" t="s">
        <v>91</v>
      </c>
      <c r="K8" s="30" t="s">
        <v>105</v>
      </c>
      <c r="L8" s="30" t="s">
        <v>93</v>
      </c>
      <c r="M8" s="30"/>
      <c r="N8" s="30"/>
      <c r="O8" s="30"/>
      <c r="P8" s="5" t="s">
        <v>95</v>
      </c>
      <c r="Q8" s="30" t="s">
        <v>108</v>
      </c>
      <c r="R8" s="30" t="s">
        <v>109</v>
      </c>
      <c r="S8" s="22"/>
      <c r="T8" s="22" t="s">
        <v>97</v>
      </c>
      <c r="U8" s="30"/>
      <c r="V8" s="30"/>
      <c r="W8" s="5" t="s">
        <v>102</v>
      </c>
      <c r="X8" s="5"/>
      <c r="Y8" s="5"/>
      <c r="Z8" s="30"/>
      <c r="AA8" s="30"/>
      <c r="AB8" s="30"/>
      <c r="AC8" s="5"/>
      <c r="AD8" s="5" t="s">
        <v>102</v>
      </c>
      <c r="AE8" s="5"/>
      <c r="AF8" s="5"/>
      <c r="AG8" s="5"/>
      <c r="AH8" s="5"/>
      <c r="AI8" s="5"/>
      <c r="AJ8" s="5"/>
      <c r="AK8" s="5"/>
      <c r="AL8" s="5"/>
      <c r="AM8" s="5"/>
      <c r="AN8" s="5"/>
      <c r="AO8" s="30" t="s">
        <v>103</v>
      </c>
      <c r="AP8" s="5"/>
    </row>
    <row r="9" spans="1:42" ht="14.25" customHeight="1" x14ac:dyDescent="0.35">
      <c r="A9" s="16">
        <v>2017.13607</v>
      </c>
      <c r="B9" s="17" t="s">
        <v>151</v>
      </c>
      <c r="C9" s="18">
        <v>2017</v>
      </c>
      <c r="D9" s="65" t="s">
        <v>90</v>
      </c>
      <c r="E9" s="5"/>
      <c r="F9" s="5" t="b">
        <v>1</v>
      </c>
      <c r="G9" s="5"/>
      <c r="H9" s="5">
        <v>1</v>
      </c>
      <c r="I9" s="29" t="str">
        <f t="shared" si="0"/>
        <v>2017.13607.1</v>
      </c>
      <c r="J9" s="5" t="s">
        <v>110</v>
      </c>
      <c r="K9" s="30" t="s">
        <v>112</v>
      </c>
      <c r="L9" s="30"/>
      <c r="M9" s="30"/>
      <c r="N9" s="30"/>
      <c r="O9" s="30"/>
      <c r="P9" s="5" t="s">
        <v>95</v>
      </c>
      <c r="Q9" s="30" t="s">
        <v>111</v>
      </c>
      <c r="R9" s="30"/>
      <c r="S9" s="23"/>
      <c r="T9" s="23" t="s">
        <v>97</v>
      </c>
      <c r="U9" s="30" t="s">
        <v>100</v>
      </c>
      <c r="V9" s="30" t="s">
        <v>113</v>
      </c>
      <c r="W9" s="5" t="s">
        <v>102</v>
      </c>
      <c r="X9" s="5"/>
      <c r="Y9" s="5"/>
      <c r="Z9" s="30"/>
      <c r="AA9" s="30"/>
      <c r="AB9" s="30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103</v>
      </c>
      <c r="AP9" s="5"/>
    </row>
    <row r="10" spans="1:42" ht="14.25" customHeight="1" x14ac:dyDescent="0.35">
      <c r="A10" s="16">
        <v>2016.1418000000001</v>
      </c>
      <c r="B10" s="17" t="s">
        <v>152</v>
      </c>
      <c r="C10" s="18">
        <v>2016</v>
      </c>
      <c r="D10" s="65" t="s">
        <v>90</v>
      </c>
      <c r="E10" s="5"/>
      <c r="F10" s="5" t="b">
        <v>1</v>
      </c>
      <c r="G10" s="5"/>
      <c r="H10" s="5">
        <v>1</v>
      </c>
      <c r="I10" s="29" t="str">
        <f t="shared" si="0"/>
        <v>2016.1418.1</v>
      </c>
      <c r="J10" s="5" t="s">
        <v>91</v>
      </c>
      <c r="K10" s="30" t="s">
        <v>114</v>
      </c>
      <c r="L10" s="30" t="s">
        <v>93</v>
      </c>
      <c r="M10" s="30"/>
      <c r="N10" s="30"/>
      <c r="O10" s="30"/>
      <c r="P10" s="5" t="s">
        <v>106</v>
      </c>
      <c r="Q10" s="30"/>
      <c r="R10" s="30"/>
      <c r="S10" s="22"/>
      <c r="T10" s="22" t="s">
        <v>98</v>
      </c>
      <c r="U10" s="30"/>
      <c r="V10" s="30"/>
      <c r="W10" s="5" t="s">
        <v>102</v>
      </c>
      <c r="X10" s="5"/>
      <c r="Y10" s="5"/>
      <c r="Z10" s="30"/>
      <c r="AA10" s="30"/>
      <c r="AB10" s="30"/>
      <c r="AC10" s="5"/>
      <c r="AD10" s="5" t="s">
        <v>102</v>
      </c>
      <c r="AE10" s="5"/>
      <c r="AF10" s="5"/>
      <c r="AG10" s="5"/>
      <c r="AH10" s="5"/>
      <c r="AI10" s="5"/>
      <c r="AJ10" s="5" t="s">
        <v>102</v>
      </c>
      <c r="AK10" s="5"/>
      <c r="AL10" s="5"/>
      <c r="AM10" s="5"/>
      <c r="AN10" s="5"/>
      <c r="AO10" s="30" t="s">
        <v>103</v>
      </c>
      <c r="AP10" s="5"/>
    </row>
    <row r="11" spans="1:42" ht="14.25" customHeight="1" x14ac:dyDescent="0.35">
      <c r="A11" s="16">
        <v>2022.2456</v>
      </c>
      <c r="B11" s="17" t="s">
        <v>153</v>
      </c>
      <c r="C11" s="18">
        <v>2022</v>
      </c>
      <c r="D11" s="65" t="s">
        <v>90</v>
      </c>
      <c r="E11" s="5"/>
      <c r="F11" s="5" t="b">
        <v>1</v>
      </c>
      <c r="G11" s="5"/>
      <c r="H11" s="5">
        <v>1</v>
      </c>
      <c r="I11" s="29" t="str">
        <f t="shared" si="0"/>
        <v>2022.2456.1</v>
      </c>
      <c r="J11" s="5" t="s">
        <v>110</v>
      </c>
      <c r="K11" s="30" t="s">
        <v>105</v>
      </c>
      <c r="L11" s="30" t="s">
        <v>116</v>
      </c>
      <c r="M11" s="30"/>
      <c r="N11" s="30"/>
      <c r="O11" s="30"/>
      <c r="P11" s="5" t="s">
        <v>95</v>
      </c>
      <c r="Q11" s="30" t="s">
        <v>111</v>
      </c>
      <c r="R11" s="30" t="s">
        <v>117</v>
      </c>
      <c r="S11" s="23"/>
      <c r="T11" s="23" t="s">
        <v>97</v>
      </c>
      <c r="U11" s="30" t="s">
        <v>100</v>
      </c>
      <c r="V11" s="30" t="s">
        <v>118</v>
      </c>
      <c r="W11" s="5"/>
      <c r="X11" s="5"/>
      <c r="Y11" s="5"/>
      <c r="Z11" s="30"/>
      <c r="AA11" s="30"/>
      <c r="AB11" s="30"/>
      <c r="AC11" s="5"/>
      <c r="AD11" s="5"/>
      <c r="AE11" s="5"/>
      <c r="AF11" s="5"/>
      <c r="AG11" s="5"/>
      <c r="AH11" s="5" t="s">
        <v>102</v>
      </c>
      <c r="AI11" s="5"/>
      <c r="AJ11" s="5" t="s">
        <v>102</v>
      </c>
      <c r="AK11" s="5"/>
      <c r="AL11" s="5"/>
      <c r="AM11" s="5"/>
      <c r="AN11" s="5"/>
      <c r="AO11" s="30" t="s">
        <v>119</v>
      </c>
      <c r="AP11" s="5"/>
    </row>
    <row r="12" spans="1:42" ht="14.25" customHeight="1" x14ac:dyDescent="0.35">
      <c r="A12" s="16">
        <v>2021.2150899999999</v>
      </c>
      <c r="B12" s="17" t="s">
        <v>120</v>
      </c>
      <c r="C12" s="18">
        <v>2021</v>
      </c>
      <c r="D12" s="65" t="s">
        <v>90</v>
      </c>
      <c r="E12" s="5"/>
      <c r="F12" s="5" t="b">
        <v>1</v>
      </c>
      <c r="G12" s="5"/>
      <c r="H12" s="5">
        <v>1</v>
      </c>
      <c r="I12" s="29" t="str">
        <f t="shared" si="0"/>
        <v>2021.21509.1</v>
      </c>
      <c r="J12" s="5" t="s">
        <v>91</v>
      </c>
      <c r="K12" s="30" t="s">
        <v>105</v>
      </c>
      <c r="L12" s="30" t="s">
        <v>121</v>
      </c>
      <c r="M12" s="30"/>
      <c r="N12" s="30"/>
      <c r="O12" s="30"/>
      <c r="P12" s="5" t="s">
        <v>95</v>
      </c>
      <c r="Q12" s="30" t="s">
        <v>111</v>
      </c>
      <c r="R12" s="30" t="s">
        <v>122</v>
      </c>
      <c r="S12" s="22"/>
      <c r="T12" s="22" t="s">
        <v>97</v>
      </c>
      <c r="U12" s="30" t="s">
        <v>100</v>
      </c>
      <c r="V12" s="30" t="s">
        <v>113</v>
      </c>
      <c r="W12" s="5"/>
      <c r="X12" s="5"/>
      <c r="Y12" s="5"/>
      <c r="Z12" s="30"/>
      <c r="AA12" s="30"/>
      <c r="AB12" s="30" t="s">
        <v>110</v>
      </c>
      <c r="AC12" s="5" t="s">
        <v>102</v>
      </c>
      <c r="AD12" s="5"/>
      <c r="AE12" s="5"/>
      <c r="AF12" s="5"/>
      <c r="AG12" s="5"/>
      <c r="AH12" s="5" t="s">
        <v>102</v>
      </c>
      <c r="AI12" s="5"/>
      <c r="AJ12" s="5"/>
      <c r="AK12" s="5"/>
      <c r="AL12" s="5"/>
      <c r="AM12" s="5"/>
      <c r="AN12" s="5"/>
      <c r="AO12" s="30" t="s">
        <v>103</v>
      </c>
      <c r="AP12" s="5"/>
    </row>
    <row r="13" spans="1:42" ht="14.25" customHeight="1" x14ac:dyDescent="0.35">
      <c r="A13" s="16">
        <v>2021.2360000000001</v>
      </c>
      <c r="B13" s="17" t="s">
        <v>154</v>
      </c>
      <c r="C13" s="18">
        <v>2021</v>
      </c>
      <c r="D13" s="65" t="s">
        <v>90</v>
      </c>
      <c r="E13" s="5"/>
      <c r="F13" s="5" t="b">
        <v>1</v>
      </c>
      <c r="G13" s="5"/>
      <c r="H13" s="5">
        <v>1</v>
      </c>
      <c r="I13" s="29" t="str">
        <f t="shared" si="0"/>
        <v>2021.236.1</v>
      </c>
      <c r="J13" s="5" t="s">
        <v>110</v>
      </c>
      <c r="K13" s="30" t="s">
        <v>112</v>
      </c>
      <c r="L13" s="30"/>
      <c r="M13" s="30"/>
      <c r="N13" s="30"/>
      <c r="O13" s="30"/>
      <c r="P13" s="5" t="s">
        <v>95</v>
      </c>
      <c r="Q13" s="30" t="s">
        <v>111</v>
      </c>
      <c r="R13" s="30" t="s">
        <v>109</v>
      </c>
      <c r="S13" s="23"/>
      <c r="T13" s="23" t="s">
        <v>97</v>
      </c>
      <c r="U13" s="30" t="s">
        <v>100</v>
      </c>
      <c r="V13" s="30" t="s">
        <v>113</v>
      </c>
      <c r="W13" s="5" t="s">
        <v>102</v>
      </c>
      <c r="X13" s="5"/>
      <c r="Y13" s="5"/>
      <c r="Z13" s="30"/>
      <c r="AA13" s="30"/>
      <c r="AB13" s="30"/>
      <c r="AC13" s="5" t="s">
        <v>102</v>
      </c>
      <c r="AD13" s="5"/>
      <c r="AE13" s="5"/>
      <c r="AF13" s="5"/>
      <c r="AG13" s="5"/>
      <c r="AH13" s="5" t="s">
        <v>102</v>
      </c>
      <c r="AI13" s="5"/>
      <c r="AJ13" s="5"/>
      <c r="AK13" s="5"/>
      <c r="AL13" s="5"/>
      <c r="AM13" s="5"/>
      <c r="AN13" s="5"/>
      <c r="AO13" s="30" t="s">
        <v>103</v>
      </c>
      <c r="AP13" s="5"/>
    </row>
    <row r="14" spans="1:42" ht="14.25" customHeight="1" x14ac:dyDescent="0.35">
      <c r="A14" s="16">
        <v>2020.17876</v>
      </c>
      <c r="B14" s="17" t="s">
        <v>155</v>
      </c>
      <c r="C14" s="18">
        <v>2020</v>
      </c>
      <c r="D14" s="65" t="s">
        <v>90</v>
      </c>
      <c r="E14" s="5"/>
      <c r="F14" s="5" t="b">
        <v>1</v>
      </c>
      <c r="G14" s="5"/>
      <c r="H14" s="5">
        <v>1</v>
      </c>
      <c r="I14" s="29" t="str">
        <f t="shared" si="0"/>
        <v>2020.17876.1</v>
      </c>
      <c r="J14" s="5" t="s">
        <v>91</v>
      </c>
      <c r="K14" s="30" t="s">
        <v>92</v>
      </c>
      <c r="L14" s="30" t="s">
        <v>121</v>
      </c>
      <c r="M14" s="30"/>
      <c r="N14" s="30"/>
      <c r="O14" s="30"/>
      <c r="P14" s="5" t="s">
        <v>95</v>
      </c>
      <c r="Q14" s="30" t="s">
        <v>96</v>
      </c>
      <c r="R14" s="30" t="s">
        <v>117</v>
      </c>
      <c r="S14" s="22"/>
      <c r="T14" s="22" t="s">
        <v>97</v>
      </c>
      <c r="U14" s="30" t="s">
        <v>100</v>
      </c>
      <c r="V14" s="30" t="s">
        <v>101</v>
      </c>
      <c r="W14" s="5" t="s">
        <v>102</v>
      </c>
      <c r="X14" s="5"/>
      <c r="Y14" s="5"/>
      <c r="Z14" s="30"/>
      <c r="AA14" s="30"/>
      <c r="AB14" s="30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103</v>
      </c>
      <c r="AP14" s="5"/>
    </row>
    <row r="15" spans="1:42" ht="14.25" customHeight="1" x14ac:dyDescent="0.35">
      <c r="A15" s="16">
        <v>2017.15246</v>
      </c>
      <c r="B15" s="17" t="s">
        <v>156</v>
      </c>
      <c r="C15" s="18">
        <v>2017</v>
      </c>
      <c r="D15" s="65" t="s">
        <v>90</v>
      </c>
      <c r="E15" s="5"/>
      <c r="F15" s="5" t="b">
        <v>1</v>
      </c>
      <c r="G15" s="5"/>
      <c r="H15" s="5">
        <v>1</v>
      </c>
      <c r="I15" s="29" t="str">
        <f t="shared" si="0"/>
        <v>2017.15246.1</v>
      </c>
      <c r="J15" s="5" t="s">
        <v>91</v>
      </c>
      <c r="K15" s="30" t="s">
        <v>105</v>
      </c>
      <c r="L15" s="30" t="s">
        <v>93</v>
      </c>
      <c r="M15" s="30"/>
      <c r="N15" s="30"/>
      <c r="O15" s="30"/>
      <c r="P15" s="5" t="s">
        <v>95</v>
      </c>
      <c r="Q15" s="30" t="s">
        <v>108</v>
      </c>
      <c r="R15" s="30"/>
      <c r="S15" s="23"/>
      <c r="T15" s="23" t="s">
        <v>123</v>
      </c>
      <c r="U15" s="30"/>
      <c r="V15" s="30"/>
      <c r="W15" s="5"/>
      <c r="X15" s="5"/>
      <c r="Y15" s="5"/>
      <c r="Z15" s="30"/>
      <c r="AA15" s="30"/>
      <c r="AB15" s="30"/>
      <c r="AC15" s="5"/>
      <c r="AD15" s="5" t="s">
        <v>102</v>
      </c>
      <c r="AE15" s="5"/>
      <c r="AF15" s="5"/>
      <c r="AG15" s="5"/>
      <c r="AH15" s="5"/>
      <c r="AI15" s="5"/>
      <c r="AJ15" s="5" t="s">
        <v>102</v>
      </c>
      <c r="AK15" s="5"/>
      <c r="AL15" s="5"/>
      <c r="AM15" s="5"/>
      <c r="AN15" s="5"/>
      <c r="AO15" s="30" t="s">
        <v>103</v>
      </c>
      <c r="AP15" s="5"/>
    </row>
    <row r="16" spans="1:42" ht="14.25" customHeight="1" x14ac:dyDescent="0.35">
      <c r="A16" s="16">
        <v>2015.12905</v>
      </c>
      <c r="B16" s="17" t="s">
        <v>157</v>
      </c>
      <c r="C16" s="18">
        <v>2015</v>
      </c>
      <c r="D16" s="65" t="s">
        <v>90</v>
      </c>
      <c r="E16" s="5"/>
      <c r="F16" s="5" t="b">
        <v>1</v>
      </c>
      <c r="G16" s="5"/>
      <c r="H16" s="5">
        <v>1</v>
      </c>
      <c r="I16" s="29" t="str">
        <f t="shared" si="0"/>
        <v>2015.12905.1</v>
      </c>
      <c r="J16" s="5" t="s">
        <v>91</v>
      </c>
      <c r="K16" s="30" t="s">
        <v>105</v>
      </c>
      <c r="L16" s="30" t="s">
        <v>93</v>
      </c>
      <c r="M16" s="30"/>
      <c r="N16" s="30"/>
      <c r="O16" s="30"/>
      <c r="P16" s="5" t="s">
        <v>95</v>
      </c>
      <c r="Q16" s="30" t="s">
        <v>111</v>
      </c>
      <c r="R16" s="30"/>
      <c r="S16" s="22"/>
      <c r="T16" s="22" t="s">
        <v>99</v>
      </c>
      <c r="U16" s="30"/>
      <c r="V16" s="30"/>
      <c r="W16" s="5" t="s">
        <v>102</v>
      </c>
      <c r="X16" s="5"/>
      <c r="Y16" s="5"/>
      <c r="Z16" s="30"/>
      <c r="AA16" s="30"/>
      <c r="AB16" s="30"/>
      <c r="AC16" s="5"/>
      <c r="AD16" s="5"/>
      <c r="AE16" s="5"/>
      <c r="AF16" s="5"/>
      <c r="AG16" s="5"/>
      <c r="AH16" s="5" t="s">
        <v>102</v>
      </c>
      <c r="AI16" s="5"/>
      <c r="AJ16" s="5"/>
      <c r="AK16" s="5"/>
      <c r="AL16" s="5"/>
      <c r="AM16" s="5"/>
      <c r="AN16" s="5"/>
      <c r="AO16" s="30" t="s">
        <v>103</v>
      </c>
      <c r="AP16" s="5"/>
    </row>
    <row r="17" spans="1:42" ht="14.25" customHeight="1" x14ac:dyDescent="0.35">
      <c r="A17" s="16">
        <v>2021.21596</v>
      </c>
      <c r="B17" s="17" t="s">
        <v>158</v>
      </c>
      <c r="C17" s="18">
        <v>2021</v>
      </c>
      <c r="D17" s="65" t="s">
        <v>90</v>
      </c>
      <c r="E17" s="5"/>
      <c r="F17" s="5" t="b">
        <v>1</v>
      </c>
      <c r="G17" s="5"/>
      <c r="H17" s="5">
        <v>1</v>
      </c>
      <c r="I17" s="29" t="str">
        <f t="shared" si="0"/>
        <v>2021.21596.1</v>
      </c>
      <c r="J17" s="5" t="s">
        <v>91</v>
      </c>
      <c r="K17" s="30" t="s">
        <v>105</v>
      </c>
      <c r="L17" s="30" t="s">
        <v>93</v>
      </c>
      <c r="M17" s="30"/>
      <c r="N17" s="30"/>
      <c r="O17" s="30"/>
      <c r="P17" s="5" t="s">
        <v>106</v>
      </c>
      <c r="Q17" s="30"/>
      <c r="R17" s="30"/>
      <c r="S17" s="23"/>
      <c r="T17" s="23" t="s">
        <v>99</v>
      </c>
      <c r="U17" s="30"/>
      <c r="V17" s="30"/>
      <c r="W17" s="5" t="s">
        <v>102</v>
      </c>
      <c r="X17" s="5"/>
      <c r="Y17" s="5"/>
      <c r="Z17" s="30"/>
      <c r="AA17" s="30"/>
      <c r="AB17" s="30"/>
      <c r="AC17" s="5" t="s">
        <v>102</v>
      </c>
      <c r="AD17" s="5"/>
      <c r="AE17" s="5" t="s">
        <v>102</v>
      </c>
      <c r="AF17" s="5"/>
      <c r="AG17" s="5"/>
      <c r="AH17" s="5" t="s">
        <v>102</v>
      </c>
      <c r="AI17" s="5"/>
      <c r="AJ17" s="5"/>
      <c r="AK17" s="5"/>
      <c r="AL17" s="5"/>
      <c r="AM17" s="5"/>
      <c r="AN17" s="5"/>
      <c r="AO17" s="30" t="s">
        <v>103</v>
      </c>
      <c r="AP17" s="5"/>
    </row>
    <row r="18" spans="1:42" ht="14.25" customHeight="1" x14ac:dyDescent="0.35">
      <c r="A18" s="16">
        <v>2022.21732</v>
      </c>
      <c r="B18" s="17" t="s">
        <v>124</v>
      </c>
      <c r="C18" s="18">
        <v>2022</v>
      </c>
      <c r="D18" s="65" t="s">
        <v>90</v>
      </c>
      <c r="E18" s="5"/>
      <c r="F18" s="5" t="b">
        <v>1</v>
      </c>
      <c r="G18" s="5"/>
      <c r="H18" s="5">
        <v>1</v>
      </c>
      <c r="I18" s="29" t="str">
        <f t="shared" si="0"/>
        <v>2022.21732.1</v>
      </c>
      <c r="J18" s="5" t="s">
        <v>110</v>
      </c>
      <c r="K18" s="30" t="s">
        <v>125</v>
      </c>
      <c r="L18" s="30" t="s">
        <v>121</v>
      </c>
      <c r="M18" s="30"/>
      <c r="N18" s="30"/>
      <c r="O18" s="30"/>
      <c r="P18" s="5" t="s">
        <v>95</v>
      </c>
      <c r="Q18" s="30" t="s">
        <v>108</v>
      </c>
      <c r="R18" s="30" t="s">
        <v>117</v>
      </c>
      <c r="S18" s="22"/>
      <c r="T18" s="22" t="s">
        <v>97</v>
      </c>
      <c r="U18" s="30" t="s">
        <v>100</v>
      </c>
      <c r="V18" s="30" t="s">
        <v>101</v>
      </c>
      <c r="W18" s="5" t="s">
        <v>102</v>
      </c>
      <c r="X18" s="5"/>
      <c r="Y18" s="5"/>
      <c r="Z18" s="30"/>
      <c r="AA18" s="30"/>
      <c r="AB18" s="30"/>
      <c r="AC18" s="5" t="s">
        <v>102</v>
      </c>
      <c r="AD18" s="5" t="s">
        <v>102</v>
      </c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103</v>
      </c>
      <c r="AP18" s="5"/>
    </row>
    <row r="19" spans="1:42" ht="14.25" customHeight="1" x14ac:dyDescent="0.35">
      <c r="A19" s="16">
        <v>2021.5704000000001</v>
      </c>
      <c r="B19" s="17" t="s">
        <v>159</v>
      </c>
      <c r="C19" s="18">
        <v>2021</v>
      </c>
      <c r="D19" s="65" t="s">
        <v>90</v>
      </c>
      <c r="E19" s="5"/>
      <c r="F19" s="5" t="b">
        <v>1</v>
      </c>
      <c r="G19" s="5"/>
      <c r="H19" s="5">
        <v>1</v>
      </c>
      <c r="I19" s="29" t="str">
        <f t="shared" si="0"/>
        <v>2021.5704.1</v>
      </c>
      <c r="J19" s="5" t="s">
        <v>91</v>
      </c>
      <c r="K19" s="30" t="s">
        <v>105</v>
      </c>
      <c r="L19" s="30" t="s">
        <v>126</v>
      </c>
      <c r="M19" s="30"/>
      <c r="N19" s="30"/>
      <c r="O19" s="30"/>
      <c r="P19" s="5" t="s">
        <v>95</v>
      </c>
      <c r="Q19" s="30" t="s">
        <v>111</v>
      </c>
      <c r="R19" s="30"/>
      <c r="S19" s="23"/>
      <c r="T19" s="23" t="s">
        <v>99</v>
      </c>
      <c r="U19" s="30" t="s">
        <v>128</v>
      </c>
      <c r="V19" s="30"/>
      <c r="W19" s="5" t="s">
        <v>102</v>
      </c>
      <c r="X19" s="5"/>
      <c r="Y19" s="5"/>
      <c r="Z19" s="30"/>
      <c r="AA19" s="30"/>
      <c r="AB19" s="30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30" t="s">
        <v>103</v>
      </c>
      <c r="AP19" s="5"/>
    </row>
    <row r="20" spans="1:42" ht="14.25" customHeight="1" x14ac:dyDescent="0.35">
      <c r="A20" s="16">
        <v>2020.1958299999999</v>
      </c>
      <c r="B20" s="17" t="s">
        <v>160</v>
      </c>
      <c r="C20" s="18">
        <v>2020</v>
      </c>
      <c r="D20" s="65" t="s">
        <v>90</v>
      </c>
      <c r="E20" s="5"/>
      <c r="F20" s="5" t="b">
        <v>1</v>
      </c>
      <c r="G20" s="5"/>
      <c r="H20" s="5">
        <v>1</v>
      </c>
      <c r="I20" s="29" t="str">
        <f t="shared" si="0"/>
        <v>2020.19583.1</v>
      </c>
      <c r="J20" s="5" t="s">
        <v>91</v>
      </c>
      <c r="K20" s="30" t="s">
        <v>92</v>
      </c>
      <c r="L20" s="30" t="s">
        <v>93</v>
      </c>
      <c r="M20" s="30"/>
      <c r="N20" s="30"/>
      <c r="O20" s="30"/>
      <c r="P20" s="5" t="s">
        <v>95</v>
      </c>
      <c r="Q20" s="30" t="s">
        <v>96</v>
      </c>
      <c r="R20" s="30" t="s">
        <v>129</v>
      </c>
      <c r="S20" s="22"/>
      <c r="T20" s="22" t="s">
        <v>98</v>
      </c>
      <c r="U20" s="30" t="s">
        <v>100</v>
      </c>
      <c r="V20" s="30" t="s">
        <v>118</v>
      </c>
      <c r="W20" s="5"/>
      <c r="X20" s="5"/>
      <c r="Y20" s="5"/>
      <c r="Z20" s="30"/>
      <c r="AA20" s="30"/>
      <c r="AB20" s="30"/>
      <c r="AC20" s="5" t="s">
        <v>102</v>
      </c>
      <c r="AD20" s="5" t="s">
        <v>102</v>
      </c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30" t="s">
        <v>103</v>
      </c>
      <c r="AP20" s="5"/>
    </row>
    <row r="21" spans="1:42" ht="14.25" customHeight="1" x14ac:dyDescent="0.35">
      <c r="A21" s="16">
        <v>2022.2080000000001</v>
      </c>
      <c r="B21" s="17" t="s">
        <v>161</v>
      </c>
      <c r="C21" s="18">
        <v>2022</v>
      </c>
      <c r="D21" s="65" t="s">
        <v>90</v>
      </c>
      <c r="E21" s="5"/>
      <c r="F21" s="5" t="b">
        <v>1</v>
      </c>
      <c r="G21" s="5"/>
      <c r="H21" s="5">
        <v>1</v>
      </c>
      <c r="I21" s="29" t="str">
        <f t="shared" si="0"/>
        <v>2022.208.1</v>
      </c>
      <c r="J21" s="5" t="s">
        <v>91</v>
      </c>
      <c r="K21" s="30" t="s">
        <v>92</v>
      </c>
      <c r="L21" s="30" t="s">
        <v>93</v>
      </c>
      <c r="M21" s="30"/>
      <c r="N21" s="30"/>
      <c r="O21" s="30"/>
      <c r="P21" s="5" t="s">
        <v>95</v>
      </c>
      <c r="Q21" s="30" t="s">
        <v>130</v>
      </c>
      <c r="R21" s="30"/>
      <c r="S21" s="23"/>
      <c r="T21" s="23" t="s">
        <v>99</v>
      </c>
      <c r="U21" s="30" t="s">
        <v>100</v>
      </c>
      <c r="V21" s="30" t="s">
        <v>101</v>
      </c>
      <c r="W21" s="5" t="s">
        <v>102</v>
      </c>
      <c r="X21" s="5"/>
      <c r="Y21" s="5"/>
      <c r="Z21" s="30"/>
      <c r="AA21" s="30"/>
      <c r="AB21" s="30"/>
      <c r="AC21" s="5"/>
      <c r="AD21" s="5"/>
      <c r="AE21" s="5"/>
      <c r="AF21" s="5"/>
      <c r="AG21" s="5"/>
      <c r="AH21" s="5" t="s">
        <v>102</v>
      </c>
      <c r="AI21" s="5"/>
      <c r="AJ21" s="5"/>
      <c r="AK21" s="5"/>
      <c r="AL21" s="5"/>
      <c r="AM21" s="5"/>
      <c r="AN21" s="5"/>
      <c r="AO21" s="30" t="s">
        <v>131</v>
      </c>
      <c r="AP21" s="5"/>
    </row>
    <row r="22" spans="1:42" ht="14.25" customHeight="1" x14ac:dyDescent="0.35">
      <c r="A22" s="16">
        <v>2019.4858999999999</v>
      </c>
      <c r="B22" s="17" t="s">
        <v>162</v>
      </c>
      <c r="C22" s="18">
        <v>2019</v>
      </c>
      <c r="D22" s="65" t="s">
        <v>90</v>
      </c>
      <c r="E22" s="5"/>
      <c r="F22" s="5" t="b">
        <v>1</v>
      </c>
      <c r="G22" s="5"/>
      <c r="H22" s="5">
        <v>1</v>
      </c>
      <c r="I22" s="29" t="str">
        <f t="shared" si="0"/>
        <v>2019.4859.1</v>
      </c>
      <c r="J22" s="5" t="s">
        <v>132</v>
      </c>
      <c r="K22" s="30" t="s">
        <v>105</v>
      </c>
      <c r="L22" s="30" t="s">
        <v>93</v>
      </c>
      <c r="M22" s="30" t="s">
        <v>133</v>
      </c>
      <c r="N22" s="30"/>
      <c r="O22" s="30" t="s">
        <v>134</v>
      </c>
      <c r="P22" s="5" t="s">
        <v>95</v>
      </c>
      <c r="Q22" s="30" t="s">
        <v>108</v>
      </c>
      <c r="R22" s="30"/>
      <c r="S22" s="22"/>
      <c r="T22" s="22" t="s">
        <v>97</v>
      </c>
      <c r="U22" s="30"/>
      <c r="V22" s="30"/>
      <c r="W22" s="5" t="s">
        <v>102</v>
      </c>
      <c r="X22" s="5"/>
      <c r="Y22" s="5"/>
      <c r="Z22" s="30"/>
      <c r="AA22" s="30"/>
      <c r="AB22" s="30"/>
      <c r="AC22" s="5"/>
      <c r="AD22" s="5"/>
      <c r="AE22" s="5"/>
      <c r="AF22" s="5"/>
      <c r="AG22" s="5"/>
      <c r="AH22" s="5" t="s">
        <v>102</v>
      </c>
      <c r="AI22" s="5"/>
      <c r="AJ22" s="5"/>
      <c r="AK22" s="5"/>
      <c r="AL22" s="5"/>
      <c r="AM22" s="5"/>
      <c r="AN22" s="5"/>
      <c r="AO22" s="30" t="s">
        <v>103</v>
      </c>
      <c r="AP22" s="5"/>
    </row>
    <row r="23" spans="1:42" ht="14.25" customHeight="1" x14ac:dyDescent="0.35">
      <c r="A23" s="16">
        <v>2018.13246</v>
      </c>
      <c r="B23" s="17" t="s">
        <v>135</v>
      </c>
      <c r="C23" s="18">
        <v>2018</v>
      </c>
      <c r="D23" s="65" t="s">
        <v>90</v>
      </c>
      <c r="E23" s="5"/>
      <c r="F23" s="5" t="b">
        <v>1</v>
      </c>
      <c r="G23" s="5"/>
      <c r="H23" s="5">
        <v>1</v>
      </c>
      <c r="I23" s="29" t="str">
        <f t="shared" si="0"/>
        <v>2018.13246.1</v>
      </c>
      <c r="J23" s="5" t="s">
        <v>110</v>
      </c>
      <c r="K23" s="30" t="s">
        <v>105</v>
      </c>
      <c r="L23" s="30" t="s">
        <v>121</v>
      </c>
      <c r="M23" s="30"/>
      <c r="N23" s="30"/>
      <c r="O23" s="30"/>
      <c r="P23" s="5" t="s">
        <v>95</v>
      </c>
      <c r="Q23" s="30" t="s">
        <v>111</v>
      </c>
      <c r="R23" s="30" t="s">
        <v>109</v>
      </c>
      <c r="S23" s="23"/>
      <c r="T23" s="23" t="s">
        <v>97</v>
      </c>
      <c r="U23" s="30"/>
      <c r="V23" s="30" t="s">
        <v>113</v>
      </c>
      <c r="W23" s="5"/>
      <c r="X23" s="5"/>
      <c r="Y23" s="5"/>
      <c r="Z23" s="30"/>
      <c r="AA23" s="30"/>
      <c r="AB23" s="30"/>
      <c r="AC23" s="5" t="s">
        <v>102</v>
      </c>
      <c r="AD23" s="5" t="s">
        <v>102</v>
      </c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30" t="s">
        <v>103</v>
      </c>
      <c r="AP23" s="5"/>
    </row>
    <row r="24" spans="1:42" ht="14.25" customHeight="1" x14ac:dyDescent="0.35">
      <c r="A24" s="16">
        <v>2020.1999599999999</v>
      </c>
      <c r="B24" s="17" t="s">
        <v>163</v>
      </c>
      <c r="C24" s="18">
        <v>2020</v>
      </c>
      <c r="D24" s="65" t="s">
        <v>90</v>
      </c>
      <c r="E24" s="5"/>
      <c r="F24" s="5" t="b">
        <v>1</v>
      </c>
      <c r="G24" s="5"/>
      <c r="H24" s="5">
        <v>1</v>
      </c>
      <c r="I24" s="29" t="str">
        <f t="shared" si="0"/>
        <v>2020.19996.1</v>
      </c>
      <c r="J24" s="5" t="s">
        <v>91</v>
      </c>
      <c r="K24" s="30" t="s">
        <v>105</v>
      </c>
      <c r="L24" s="30" t="s">
        <v>93</v>
      </c>
      <c r="M24" s="30"/>
      <c r="N24" s="30"/>
      <c r="O24" s="30"/>
      <c r="P24" s="5" t="s">
        <v>106</v>
      </c>
      <c r="Q24" s="30"/>
      <c r="R24" s="30"/>
      <c r="S24" s="22"/>
      <c r="T24" s="22"/>
      <c r="U24" s="30"/>
      <c r="V24" s="30"/>
      <c r="W24" s="5" t="s">
        <v>102</v>
      </c>
      <c r="X24" s="5"/>
      <c r="Y24" s="5"/>
      <c r="Z24" s="30"/>
      <c r="AA24" s="30"/>
      <c r="AB24" s="30"/>
      <c r="AC24" s="5" t="s">
        <v>102</v>
      </c>
      <c r="AD24" s="5" t="s">
        <v>102</v>
      </c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30" t="s">
        <v>103</v>
      </c>
      <c r="AP24" s="5"/>
    </row>
    <row r="25" spans="1:42" ht="14.25" customHeight="1" x14ac:dyDescent="0.35">
      <c r="A25" s="16">
        <v>2022.2013999999999</v>
      </c>
      <c r="B25" s="17" t="s">
        <v>164</v>
      </c>
      <c r="C25" s="18">
        <v>2022</v>
      </c>
      <c r="D25" s="65" t="s">
        <v>90</v>
      </c>
      <c r="E25" s="5"/>
      <c r="F25" s="5" t="b">
        <v>1</v>
      </c>
      <c r="G25" s="5"/>
      <c r="H25" s="5">
        <v>1</v>
      </c>
      <c r="I25" s="29" t="str">
        <f t="shared" si="0"/>
        <v>2022.2014.1</v>
      </c>
      <c r="J25" s="5" t="s">
        <v>132</v>
      </c>
      <c r="K25" s="30" t="s">
        <v>105</v>
      </c>
      <c r="L25" s="30" t="s">
        <v>93</v>
      </c>
      <c r="M25" s="30" t="s">
        <v>7</v>
      </c>
      <c r="N25" s="30"/>
      <c r="O25" s="30"/>
      <c r="P25" s="5" t="s">
        <v>95</v>
      </c>
      <c r="Q25" s="30" t="s">
        <v>111</v>
      </c>
      <c r="R25" s="30" t="s">
        <v>115</v>
      </c>
      <c r="S25" s="23"/>
      <c r="T25" s="23" t="s">
        <v>99</v>
      </c>
      <c r="U25" s="30" t="s">
        <v>127</v>
      </c>
      <c r="V25" s="30" t="s">
        <v>115</v>
      </c>
      <c r="W25" s="5" t="s">
        <v>102</v>
      </c>
      <c r="X25" s="5"/>
      <c r="Y25" s="5" t="s">
        <v>102</v>
      </c>
      <c r="Z25" s="30"/>
      <c r="AA25" s="30"/>
      <c r="AB25" s="30"/>
      <c r="AC25" s="5"/>
      <c r="AD25" s="5" t="s">
        <v>102</v>
      </c>
      <c r="AE25" s="5"/>
      <c r="AF25" s="5"/>
      <c r="AG25" s="5"/>
      <c r="AH25" s="5" t="s">
        <v>102</v>
      </c>
      <c r="AI25" s="5"/>
      <c r="AJ25" s="5"/>
      <c r="AK25" s="5"/>
      <c r="AL25" s="5"/>
      <c r="AM25" s="5"/>
      <c r="AN25" s="5"/>
      <c r="AO25" s="30" t="s">
        <v>103</v>
      </c>
      <c r="AP25" s="5"/>
    </row>
    <row r="26" spans="1:42" ht="14.25" customHeight="1" x14ac:dyDescent="0.35">
      <c r="A26" s="19">
        <v>2022.2750000000001</v>
      </c>
      <c r="B26" s="19" t="s">
        <v>165</v>
      </c>
      <c r="C26" s="20">
        <v>2022</v>
      </c>
      <c r="D26" s="65" t="s">
        <v>90</v>
      </c>
      <c r="E26" s="5"/>
      <c r="F26" s="5" t="b">
        <v>1</v>
      </c>
      <c r="G26" s="5"/>
      <c r="H26" s="5">
        <v>1</v>
      </c>
      <c r="I26" s="29" t="str">
        <f t="shared" si="0"/>
        <v>2022.275.1</v>
      </c>
      <c r="J26" s="5" t="s">
        <v>91</v>
      </c>
      <c r="K26" s="30" t="s">
        <v>136</v>
      </c>
      <c r="L26" s="30" t="s">
        <v>93</v>
      </c>
      <c r="M26" s="30"/>
      <c r="N26" s="30"/>
      <c r="O26" s="30"/>
      <c r="P26" s="5" t="s">
        <v>106</v>
      </c>
      <c r="Q26" s="30"/>
      <c r="R26" s="30" t="s">
        <v>115</v>
      </c>
      <c r="S26" s="22"/>
      <c r="T26" s="22" t="s">
        <v>123</v>
      </c>
      <c r="U26" s="30"/>
      <c r="V26" s="30"/>
      <c r="W26" s="5"/>
      <c r="X26" s="5"/>
      <c r="Y26" s="5"/>
      <c r="Z26" s="30"/>
      <c r="AA26" s="30"/>
      <c r="AB26" s="30"/>
      <c r="AC26" s="5"/>
      <c r="AD26" s="5" t="s">
        <v>102</v>
      </c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 t="s">
        <v>103</v>
      </c>
      <c r="AP26" s="5"/>
    </row>
    <row r="27" spans="1:42" ht="14.25" customHeight="1" x14ac:dyDescent="0.35">
      <c r="A27" s="19">
        <v>2022.5987</v>
      </c>
      <c r="B27" s="19" t="s">
        <v>166</v>
      </c>
      <c r="C27" s="20">
        <v>2022</v>
      </c>
      <c r="D27" s="65" t="s">
        <v>90</v>
      </c>
      <c r="E27" s="5"/>
      <c r="F27" s="5" t="b">
        <v>1</v>
      </c>
      <c r="G27" s="5"/>
      <c r="H27" s="5">
        <v>1</v>
      </c>
      <c r="I27" s="29" t="str">
        <f t="shared" si="0"/>
        <v>2022.5987.1</v>
      </c>
      <c r="J27" s="5" t="s">
        <v>91</v>
      </c>
      <c r="K27" s="30" t="s">
        <v>105</v>
      </c>
      <c r="L27" s="30" t="s">
        <v>93</v>
      </c>
      <c r="M27" s="30"/>
      <c r="N27" s="30"/>
      <c r="O27" s="30"/>
      <c r="P27" s="5" t="s">
        <v>106</v>
      </c>
      <c r="Q27" s="30"/>
      <c r="R27" s="30"/>
      <c r="S27" s="23"/>
      <c r="T27" s="23"/>
      <c r="U27" s="30"/>
      <c r="V27" s="30"/>
      <c r="W27" s="5"/>
      <c r="X27" s="5"/>
      <c r="Y27" s="5"/>
      <c r="Z27" s="30"/>
      <c r="AA27" s="30"/>
      <c r="AB27" s="30"/>
      <c r="AC27" s="5"/>
      <c r="AD27" s="5" t="s">
        <v>102</v>
      </c>
      <c r="AE27" s="5"/>
      <c r="AF27" s="5"/>
      <c r="AG27" s="5"/>
      <c r="AH27" s="5"/>
      <c r="AI27" s="5"/>
      <c r="AJ27" s="5" t="s">
        <v>102</v>
      </c>
      <c r="AK27" s="5"/>
      <c r="AL27" s="5"/>
      <c r="AM27" s="5"/>
      <c r="AN27" s="5"/>
      <c r="AO27" s="30" t="s">
        <v>103</v>
      </c>
      <c r="AP27" s="5"/>
    </row>
    <row r="28" spans="1:42" ht="14.25" customHeight="1" x14ac:dyDescent="0.35">
      <c r="A28" s="19">
        <v>2022.20568</v>
      </c>
      <c r="B28" s="19" t="s">
        <v>167</v>
      </c>
      <c r="C28" s="20">
        <v>2022</v>
      </c>
      <c r="D28" s="65" t="s">
        <v>90</v>
      </c>
      <c r="E28" s="5"/>
      <c r="F28" s="5" t="b">
        <v>1</v>
      </c>
      <c r="G28" s="5"/>
      <c r="H28" s="5">
        <v>1</v>
      </c>
      <c r="I28" s="29" t="str">
        <f t="shared" si="0"/>
        <v>2022.20568.1</v>
      </c>
      <c r="J28" s="5" t="s">
        <v>91</v>
      </c>
      <c r="K28" s="30" t="s">
        <v>105</v>
      </c>
      <c r="L28" s="30" t="s">
        <v>93</v>
      </c>
      <c r="M28" s="30"/>
      <c r="N28" s="30"/>
      <c r="O28" s="30"/>
      <c r="P28" s="5" t="s">
        <v>95</v>
      </c>
      <c r="Q28" s="30" t="s">
        <v>137</v>
      </c>
      <c r="R28" s="30"/>
      <c r="S28" s="22"/>
      <c r="T28" s="22"/>
      <c r="U28" s="30"/>
      <c r="V28" s="30"/>
      <c r="W28" s="5" t="s">
        <v>102</v>
      </c>
      <c r="X28" s="5"/>
      <c r="Y28" s="5"/>
      <c r="Z28" s="30"/>
      <c r="AA28" s="30"/>
      <c r="AB28" s="30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30" t="s">
        <v>103</v>
      </c>
      <c r="AP28" s="5"/>
    </row>
    <row r="29" spans="1:42" ht="14.25" customHeight="1" x14ac:dyDescent="0.35">
      <c r="A29" s="29">
        <v>2017.9991</v>
      </c>
      <c r="B29" s="29" t="s">
        <v>168</v>
      </c>
      <c r="C29" s="21">
        <v>2017</v>
      </c>
      <c r="D29" s="65" t="s">
        <v>90</v>
      </c>
      <c r="E29" s="5"/>
      <c r="F29" s="5" t="b">
        <v>1</v>
      </c>
      <c r="G29" s="5"/>
      <c r="H29" s="5">
        <v>1</v>
      </c>
      <c r="I29" s="29" t="str">
        <f t="shared" si="0"/>
        <v>2017.9991.1</v>
      </c>
      <c r="J29" s="5" t="s">
        <v>91</v>
      </c>
      <c r="K29" s="30" t="s">
        <v>105</v>
      </c>
      <c r="L29" s="30" t="s">
        <v>93</v>
      </c>
      <c r="M29" s="30"/>
      <c r="N29" s="30"/>
      <c r="O29" s="30"/>
      <c r="P29" s="5" t="s">
        <v>95</v>
      </c>
      <c r="Q29" s="30" t="s">
        <v>108</v>
      </c>
      <c r="R29" s="30"/>
      <c r="S29" s="23"/>
      <c r="T29" s="23"/>
      <c r="U29" s="30"/>
      <c r="V29" s="30"/>
      <c r="W29" s="5" t="s">
        <v>102</v>
      </c>
      <c r="X29" s="5"/>
      <c r="Y29" s="5"/>
      <c r="Z29" s="30"/>
      <c r="AA29" s="30"/>
      <c r="AB29" s="30"/>
      <c r="AC29" s="5"/>
      <c r="AD29" s="5" t="s">
        <v>102</v>
      </c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 t="s">
        <v>103</v>
      </c>
      <c r="AP29" s="5"/>
    </row>
    <row r="30" spans="1:42" ht="14.25" customHeight="1" x14ac:dyDescent="0.35">
      <c r="A30" s="29">
        <v>2013.11204</v>
      </c>
      <c r="B30" s="29" t="s">
        <v>169</v>
      </c>
      <c r="C30" s="21">
        <v>2013</v>
      </c>
      <c r="D30" s="65" t="s">
        <v>90</v>
      </c>
      <c r="E30" s="5"/>
      <c r="F30" s="5" t="b">
        <v>1</v>
      </c>
      <c r="G30" s="5"/>
      <c r="H30" s="5">
        <v>1</v>
      </c>
      <c r="I30" s="29" t="str">
        <f t="shared" si="0"/>
        <v>2013.11204.1</v>
      </c>
      <c r="J30" s="5" t="s">
        <v>91</v>
      </c>
      <c r="K30" s="30" t="s">
        <v>138</v>
      </c>
      <c r="L30" s="30" t="s">
        <v>139</v>
      </c>
      <c r="M30" s="30"/>
      <c r="N30" s="30"/>
      <c r="O30" s="30"/>
      <c r="P30" s="5" t="s">
        <v>95</v>
      </c>
      <c r="Q30" s="30" t="s">
        <v>111</v>
      </c>
      <c r="R30" s="30"/>
      <c r="S30" s="22"/>
      <c r="T30" s="22" t="s">
        <v>99</v>
      </c>
      <c r="U30" s="30" t="s">
        <v>100</v>
      </c>
      <c r="V30" s="30" t="s">
        <v>140</v>
      </c>
      <c r="W30" s="5" t="s">
        <v>102</v>
      </c>
      <c r="X30" s="5"/>
      <c r="Y30" s="5"/>
      <c r="Z30" s="30"/>
      <c r="AA30" s="30"/>
      <c r="AB30" s="30"/>
      <c r="AC30" s="5"/>
      <c r="AD30" s="5"/>
      <c r="AE30" s="5"/>
      <c r="AF30" s="5"/>
      <c r="AG30" s="5"/>
      <c r="AH30" s="5" t="s">
        <v>102</v>
      </c>
      <c r="AI30" s="5"/>
      <c r="AJ30" s="5"/>
      <c r="AK30" s="5"/>
      <c r="AL30" s="5"/>
      <c r="AM30" s="5"/>
      <c r="AN30" s="5"/>
      <c r="AO30" s="30" t="s">
        <v>103</v>
      </c>
      <c r="AP30" s="5"/>
    </row>
    <row r="31" spans="1:42" ht="14.25" customHeight="1" x14ac:dyDescent="0.35">
      <c r="A31" s="29">
        <v>2012.9837</v>
      </c>
      <c r="B31" s="29" t="s">
        <v>170</v>
      </c>
      <c r="C31" s="21">
        <v>2012</v>
      </c>
      <c r="D31" s="65" t="s">
        <v>90</v>
      </c>
      <c r="E31" s="5"/>
      <c r="F31" s="5" t="b">
        <v>1</v>
      </c>
      <c r="G31" s="5"/>
      <c r="H31" s="5">
        <v>1</v>
      </c>
      <c r="I31" s="29" t="str">
        <f t="shared" si="0"/>
        <v>2012.9837.1</v>
      </c>
      <c r="J31" s="5" t="s">
        <v>91</v>
      </c>
      <c r="K31" s="30" t="s">
        <v>92</v>
      </c>
      <c r="L31" s="30" t="s">
        <v>93</v>
      </c>
      <c r="M31" s="30"/>
      <c r="N31" s="30"/>
      <c r="O31" s="30"/>
      <c r="P31" s="5" t="s">
        <v>95</v>
      </c>
      <c r="Q31" s="30" t="s">
        <v>108</v>
      </c>
      <c r="R31" s="30"/>
      <c r="S31" s="23"/>
      <c r="T31" s="23" t="s">
        <v>99</v>
      </c>
      <c r="U31" s="30" t="s">
        <v>100</v>
      </c>
      <c r="V31" s="30" t="s">
        <v>101</v>
      </c>
      <c r="W31" s="5" t="s">
        <v>102</v>
      </c>
      <c r="X31" s="5"/>
      <c r="Y31" s="5"/>
      <c r="Z31" s="30"/>
      <c r="AA31" s="30"/>
      <c r="AB31" s="30" t="s">
        <v>110</v>
      </c>
      <c r="AC31" s="5"/>
      <c r="AD31" s="5"/>
      <c r="AE31" s="5"/>
      <c r="AF31" s="5"/>
      <c r="AG31" s="5"/>
      <c r="AH31" s="5" t="s">
        <v>102</v>
      </c>
      <c r="AI31" s="5"/>
      <c r="AJ31" s="5"/>
      <c r="AK31" s="5"/>
      <c r="AL31" s="5"/>
      <c r="AM31" s="5"/>
      <c r="AN31" s="5"/>
      <c r="AO31" s="30" t="s">
        <v>103</v>
      </c>
      <c r="AP31" s="5"/>
    </row>
    <row r="32" spans="1:42" ht="14.25" customHeight="1" x14ac:dyDescent="0.35">
      <c r="A32" s="29">
        <v>2013.1387999999999</v>
      </c>
      <c r="B32" s="29" t="s">
        <v>171</v>
      </c>
      <c r="C32" s="21">
        <v>2013</v>
      </c>
      <c r="D32" s="65" t="s">
        <v>90</v>
      </c>
      <c r="E32" s="5"/>
      <c r="F32" s="5" t="b">
        <v>1</v>
      </c>
      <c r="G32" s="5"/>
      <c r="H32" s="5">
        <v>1</v>
      </c>
      <c r="I32" s="29" t="str">
        <f t="shared" si="0"/>
        <v>2013.1388.1</v>
      </c>
      <c r="J32" s="5" t="s">
        <v>91</v>
      </c>
      <c r="K32" s="30" t="s">
        <v>105</v>
      </c>
      <c r="L32" s="30" t="s">
        <v>93</v>
      </c>
      <c r="M32" s="30"/>
      <c r="N32" s="30"/>
      <c r="O32" s="30"/>
      <c r="P32" s="5" t="s">
        <v>95</v>
      </c>
      <c r="Q32" s="30" t="s">
        <v>141</v>
      </c>
      <c r="R32" s="30"/>
      <c r="S32" s="22"/>
      <c r="T32" s="22"/>
      <c r="U32" s="30"/>
      <c r="V32" s="30"/>
      <c r="W32" s="5" t="s">
        <v>102</v>
      </c>
      <c r="X32" s="5"/>
      <c r="Y32" s="5"/>
      <c r="Z32" s="30"/>
      <c r="AA32" s="30"/>
      <c r="AB32" s="30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30" t="s">
        <v>103</v>
      </c>
      <c r="AP32" s="5"/>
    </row>
    <row r="33" spans="1:42" ht="14.25" customHeight="1" x14ac:dyDescent="0.35">
      <c r="A33" s="29">
        <v>2022.2131999999999</v>
      </c>
      <c r="B33" s="29" t="s">
        <v>142</v>
      </c>
      <c r="C33" s="21">
        <v>2022</v>
      </c>
      <c r="D33" s="65" t="s">
        <v>90</v>
      </c>
      <c r="E33" s="5"/>
      <c r="F33" s="5" t="b">
        <v>1</v>
      </c>
      <c r="G33" s="5"/>
      <c r="H33" s="5">
        <v>1</v>
      </c>
      <c r="I33" s="29" t="str">
        <f t="shared" si="0"/>
        <v>2022.2132.1</v>
      </c>
      <c r="J33" s="5" t="s">
        <v>91</v>
      </c>
      <c r="K33" s="30" t="s">
        <v>105</v>
      </c>
      <c r="L33" s="30" t="s">
        <v>93</v>
      </c>
      <c r="M33" s="30"/>
      <c r="N33" s="30"/>
      <c r="O33" s="30"/>
      <c r="P33" s="5" t="s">
        <v>106</v>
      </c>
      <c r="Q33" s="30"/>
      <c r="R33" s="30"/>
      <c r="S33" s="23"/>
      <c r="T33" s="23" t="s">
        <v>123</v>
      </c>
      <c r="U33" s="30"/>
      <c r="V33" s="30"/>
      <c r="W33" s="5"/>
      <c r="X33" s="5"/>
      <c r="Y33" s="5"/>
      <c r="Z33" s="30"/>
      <c r="AA33" s="30"/>
      <c r="AB33" s="30" t="s">
        <v>110</v>
      </c>
      <c r="AC33" s="5"/>
      <c r="AD33" s="5" t="s">
        <v>102</v>
      </c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30" t="s">
        <v>103</v>
      </c>
      <c r="AP33" s="5"/>
    </row>
    <row r="34" spans="1:42" ht="14.25" customHeight="1" x14ac:dyDescent="0.35">
      <c r="A34" s="29">
        <v>2010.8033</v>
      </c>
      <c r="B34" s="29" t="s">
        <v>172</v>
      </c>
      <c r="C34" s="21">
        <v>2010</v>
      </c>
      <c r="D34" s="65" t="s">
        <v>90</v>
      </c>
      <c r="E34" s="5"/>
      <c r="F34" s="5" t="b">
        <v>1</v>
      </c>
      <c r="G34" s="5"/>
      <c r="H34" s="5">
        <v>1</v>
      </c>
      <c r="I34" s="29" t="str">
        <f t="shared" ref="I34" si="1">IF(ISNUMBER(H34),CONCATENATE(A34, ".",H34))</f>
        <v>2010.8033.1</v>
      </c>
      <c r="J34" s="5" t="s">
        <v>91</v>
      </c>
      <c r="K34" s="30" t="s">
        <v>105</v>
      </c>
      <c r="L34" s="30" t="s">
        <v>93</v>
      </c>
      <c r="M34" s="30"/>
      <c r="N34" s="30"/>
      <c r="O34" s="30"/>
      <c r="P34" s="5" t="s">
        <v>95</v>
      </c>
      <c r="Q34" s="30" t="s">
        <v>143</v>
      </c>
      <c r="R34" s="30"/>
      <c r="S34" s="22"/>
      <c r="T34" s="22"/>
      <c r="U34" s="30" t="s">
        <v>100</v>
      </c>
      <c r="V34" s="30" t="s">
        <v>101</v>
      </c>
      <c r="W34" s="5" t="s">
        <v>102</v>
      </c>
      <c r="X34" s="5"/>
      <c r="Y34" s="5"/>
      <c r="Z34" s="30"/>
      <c r="AA34" s="30"/>
      <c r="AB34" s="30"/>
      <c r="AC34" s="5"/>
      <c r="AD34" s="5" t="s">
        <v>102</v>
      </c>
      <c r="AE34" s="5"/>
      <c r="AF34" s="5"/>
      <c r="AG34" s="5"/>
      <c r="AH34" s="5" t="s">
        <v>102</v>
      </c>
      <c r="AI34" s="5"/>
      <c r="AJ34" s="5"/>
      <c r="AK34" s="5"/>
      <c r="AL34" s="5"/>
      <c r="AM34" s="5"/>
      <c r="AN34" s="5"/>
      <c r="AO34" s="30" t="s">
        <v>103</v>
      </c>
      <c r="AP34" s="5"/>
    </row>
    <row r="35" spans="1:42" ht="14.25" customHeight="1" x14ac:dyDescent="0.35">
      <c r="A35" s="29">
        <v>2018.17851</v>
      </c>
      <c r="B35" s="29" t="s">
        <v>173</v>
      </c>
      <c r="C35" s="21">
        <v>2018</v>
      </c>
      <c r="D35" s="65" t="s">
        <v>90</v>
      </c>
      <c r="E35" s="5"/>
      <c r="F35" s="5" t="b">
        <v>1</v>
      </c>
      <c r="G35" s="5"/>
      <c r="H35" s="5">
        <v>1</v>
      </c>
      <c r="I35" s="29" t="str">
        <f t="shared" si="0"/>
        <v>2018.17851.1</v>
      </c>
      <c r="J35" s="5" t="s">
        <v>110</v>
      </c>
      <c r="K35" s="30" t="s">
        <v>112</v>
      </c>
      <c r="L35" s="30" t="s">
        <v>121</v>
      </c>
      <c r="M35" s="30"/>
      <c r="N35" s="30"/>
      <c r="O35" s="30"/>
      <c r="P35" s="5" t="s">
        <v>95</v>
      </c>
      <c r="Q35" s="30" t="s">
        <v>111</v>
      </c>
      <c r="R35" s="30" t="s">
        <v>109</v>
      </c>
      <c r="S35" s="23"/>
      <c r="T35" s="23" t="s">
        <v>97</v>
      </c>
      <c r="U35" s="30" t="s">
        <v>100</v>
      </c>
      <c r="V35" s="30" t="s">
        <v>113</v>
      </c>
      <c r="W35" s="5" t="s">
        <v>102</v>
      </c>
      <c r="X35" s="5"/>
      <c r="Y35" s="5"/>
      <c r="Z35" s="30"/>
      <c r="AA35" s="30" t="s">
        <v>121</v>
      </c>
      <c r="AB35" s="30"/>
      <c r="AC35" s="5"/>
      <c r="AD35" s="5"/>
      <c r="AE35" s="5"/>
      <c r="AF35" s="5"/>
      <c r="AG35" s="5"/>
      <c r="AH35" s="5" t="s">
        <v>102</v>
      </c>
      <c r="AI35" s="5"/>
      <c r="AJ35" s="5"/>
      <c r="AK35" s="5"/>
      <c r="AL35" s="5"/>
      <c r="AM35" s="5"/>
      <c r="AN35" s="5"/>
      <c r="AO35" s="30" t="s">
        <v>103</v>
      </c>
      <c r="AP35" s="5"/>
    </row>
    <row r="36" spans="1:42" ht="14.25" customHeight="1" x14ac:dyDescent="0.35">
      <c r="A36" s="29">
        <v>2019.16995</v>
      </c>
      <c r="B36" s="29" t="s">
        <v>144</v>
      </c>
      <c r="C36" s="21">
        <v>2019</v>
      </c>
      <c r="D36" s="65" t="s">
        <v>90</v>
      </c>
      <c r="E36" s="5"/>
      <c r="F36" s="5" t="b">
        <v>1</v>
      </c>
      <c r="G36" s="5"/>
      <c r="H36" s="5">
        <v>1</v>
      </c>
      <c r="I36" s="29" t="str">
        <f t="shared" si="0"/>
        <v>2019.16995.1</v>
      </c>
      <c r="J36" s="5" t="s">
        <v>91</v>
      </c>
      <c r="K36" s="30" t="s">
        <v>105</v>
      </c>
      <c r="L36" s="30" t="s">
        <v>93</v>
      </c>
      <c r="M36" s="30"/>
      <c r="N36" s="30"/>
      <c r="O36" s="30"/>
      <c r="P36" s="5" t="s">
        <v>95</v>
      </c>
      <c r="Q36" s="30" t="s">
        <v>111</v>
      </c>
      <c r="R36" s="30"/>
      <c r="S36" s="22"/>
      <c r="T36" s="22" t="s">
        <v>97</v>
      </c>
      <c r="U36" s="30" t="s">
        <v>100</v>
      </c>
      <c r="V36" s="30" t="s">
        <v>118</v>
      </c>
      <c r="W36" s="5" t="s">
        <v>102</v>
      </c>
      <c r="X36" s="5"/>
      <c r="Y36" s="5"/>
      <c r="Z36" s="30"/>
      <c r="AA36" s="30"/>
      <c r="AB36" s="30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30" t="s">
        <v>103</v>
      </c>
      <c r="AP36" s="5"/>
    </row>
    <row r="37" spans="1:42" ht="14.25" customHeight="1" x14ac:dyDescent="0.35">
      <c r="A37" s="29">
        <v>2020.3088</v>
      </c>
      <c r="B37" s="29" t="s">
        <v>145</v>
      </c>
      <c r="C37" s="21">
        <v>2020</v>
      </c>
      <c r="D37" s="65" t="s">
        <v>90</v>
      </c>
      <c r="E37" s="5"/>
      <c r="F37" s="5" t="b">
        <v>1</v>
      </c>
      <c r="G37" s="5"/>
      <c r="H37" s="5">
        <v>1</v>
      </c>
      <c r="I37" s="29" t="str">
        <f t="shared" si="0"/>
        <v>2020.3088.1</v>
      </c>
      <c r="J37" s="5" t="s">
        <v>110</v>
      </c>
      <c r="K37" s="30" t="s">
        <v>105</v>
      </c>
      <c r="L37" s="30" t="s">
        <v>121</v>
      </c>
      <c r="M37" s="30"/>
      <c r="N37" s="30"/>
      <c r="O37" s="30"/>
      <c r="P37" s="5" t="s">
        <v>95</v>
      </c>
      <c r="Q37" s="30" t="s">
        <v>111</v>
      </c>
      <c r="R37" s="30"/>
      <c r="S37" s="23"/>
      <c r="T37" s="23" t="s">
        <v>97</v>
      </c>
      <c r="U37" s="30" t="s">
        <v>100</v>
      </c>
      <c r="V37" s="30" t="s">
        <v>118</v>
      </c>
      <c r="W37" s="5" t="s">
        <v>102</v>
      </c>
      <c r="X37" s="5"/>
      <c r="Y37" s="5"/>
      <c r="Z37" s="30"/>
      <c r="AA37" s="30"/>
      <c r="AB37" s="30" t="s">
        <v>91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30" t="s">
        <v>103</v>
      </c>
      <c r="AP37" s="5"/>
    </row>
    <row r="38" spans="1:42" ht="14.25" customHeight="1" x14ac:dyDescent="0.35">
      <c r="A38" s="29">
        <v>2009.885</v>
      </c>
      <c r="B38" s="29" t="s">
        <v>174</v>
      </c>
      <c r="C38" s="21">
        <v>2009</v>
      </c>
      <c r="D38" s="65" t="s">
        <v>90</v>
      </c>
      <c r="E38" s="5"/>
      <c r="F38" s="5" t="b">
        <v>1</v>
      </c>
      <c r="G38" s="5"/>
      <c r="H38" s="5">
        <v>1</v>
      </c>
      <c r="I38" s="29" t="str">
        <f t="shared" ref="I38:I55" si="2">IF(ISNUMBER(H38),CONCATENATE(A38, ".",H38))</f>
        <v>2009.885.1</v>
      </c>
      <c r="J38" s="5" t="s">
        <v>91</v>
      </c>
      <c r="K38" s="30" t="s">
        <v>105</v>
      </c>
      <c r="L38" s="30" t="s">
        <v>93</v>
      </c>
      <c r="M38" s="30"/>
      <c r="N38" s="30"/>
      <c r="O38" s="30"/>
      <c r="P38" s="5" t="s">
        <v>95</v>
      </c>
      <c r="Q38" s="30" t="s">
        <v>111</v>
      </c>
      <c r="R38" s="30"/>
      <c r="S38" s="22"/>
      <c r="T38" s="22"/>
      <c r="U38" s="30" t="s">
        <v>100</v>
      </c>
      <c r="V38" s="30" t="s">
        <v>101</v>
      </c>
      <c r="W38" s="5" t="s">
        <v>102</v>
      </c>
      <c r="X38" s="5"/>
      <c r="Y38" s="5"/>
      <c r="Z38" s="30"/>
      <c r="AA38" s="30"/>
      <c r="AB38" s="30"/>
      <c r="AC38" s="5"/>
      <c r="AD38" s="5" t="s">
        <v>102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 t="s">
        <v>103</v>
      </c>
      <c r="AP38" s="5"/>
    </row>
    <row r="39" spans="1:42" ht="14.25" customHeight="1" x14ac:dyDescent="0.35">
      <c r="A39" s="29">
        <v>2021.2523000000001</v>
      </c>
      <c r="B39" s="29" t="s">
        <v>175</v>
      </c>
      <c r="C39" s="21">
        <v>2021</v>
      </c>
      <c r="D39" s="65" t="s">
        <v>90</v>
      </c>
      <c r="E39" s="5"/>
      <c r="F39" s="5" t="b">
        <v>1</v>
      </c>
      <c r="G39" s="5"/>
      <c r="H39" s="5">
        <v>1</v>
      </c>
      <c r="I39" s="29" t="str">
        <f t="shared" si="2"/>
        <v>2021.2523.1</v>
      </c>
      <c r="J39" s="5" t="s">
        <v>91</v>
      </c>
      <c r="K39" s="30" t="s">
        <v>105</v>
      </c>
      <c r="L39" s="30" t="s">
        <v>146</v>
      </c>
      <c r="M39" s="30"/>
      <c r="N39" s="30"/>
      <c r="O39" s="30"/>
      <c r="P39" s="5" t="s">
        <v>95</v>
      </c>
      <c r="Q39" s="30" t="s">
        <v>111</v>
      </c>
      <c r="R39" s="30" t="s">
        <v>109</v>
      </c>
      <c r="S39" s="23"/>
      <c r="T39" s="23" t="s">
        <v>99</v>
      </c>
      <c r="U39" s="30" t="s">
        <v>100</v>
      </c>
      <c r="V39" s="30"/>
      <c r="W39" s="5" t="s">
        <v>102</v>
      </c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 t="s">
        <v>102</v>
      </c>
      <c r="AI39" s="5"/>
      <c r="AJ39" s="5"/>
      <c r="AK39" s="5"/>
      <c r="AL39" s="5"/>
      <c r="AM39" s="5"/>
      <c r="AN39" s="5"/>
      <c r="AO39" s="30" t="s">
        <v>103</v>
      </c>
      <c r="AP39" s="5"/>
    </row>
    <row r="40" spans="1:42" ht="14.25" customHeight="1" x14ac:dyDescent="0.35">
      <c r="A40" s="29">
        <v>2013.10744</v>
      </c>
      <c r="B40" s="29" t="s">
        <v>176</v>
      </c>
      <c r="C40" s="21">
        <v>2013</v>
      </c>
      <c r="D40" s="65" t="s">
        <v>90</v>
      </c>
      <c r="E40" s="5"/>
      <c r="F40" s="5" t="b">
        <v>1</v>
      </c>
      <c r="G40" s="5"/>
      <c r="H40" s="5">
        <v>1</v>
      </c>
      <c r="I40" s="29" t="str">
        <f t="shared" si="2"/>
        <v>2013.10744.1</v>
      </c>
      <c r="J40" s="5" t="s">
        <v>91</v>
      </c>
      <c r="K40" s="30" t="s">
        <v>105</v>
      </c>
      <c r="L40" s="30" t="s">
        <v>93</v>
      </c>
      <c r="M40" s="30"/>
      <c r="N40" s="30"/>
      <c r="O40" s="30"/>
      <c r="P40" s="5" t="s">
        <v>95</v>
      </c>
      <c r="Q40" s="30" t="s">
        <v>111</v>
      </c>
      <c r="R40" s="30"/>
      <c r="S40" s="22"/>
      <c r="T40" s="22" t="s">
        <v>99</v>
      </c>
      <c r="U40" s="30" t="s">
        <v>100</v>
      </c>
      <c r="V40" s="30" t="s">
        <v>101</v>
      </c>
      <c r="W40" s="5" t="s">
        <v>102</v>
      </c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 t="s">
        <v>103</v>
      </c>
      <c r="AP40" s="5"/>
    </row>
    <row r="41" spans="1:42" ht="14.25" customHeight="1" x14ac:dyDescent="0.35">
      <c r="A41" s="29">
        <v>2017.1511</v>
      </c>
      <c r="B41" s="29" t="s">
        <v>177</v>
      </c>
      <c r="C41" s="21">
        <v>2017</v>
      </c>
      <c r="D41" s="65" t="s">
        <v>90</v>
      </c>
      <c r="E41" s="5"/>
      <c r="F41" s="5" t="b">
        <v>1</v>
      </c>
      <c r="G41" s="5"/>
      <c r="H41" s="5">
        <v>1</v>
      </c>
      <c r="I41" s="29" t="str">
        <f t="shared" si="2"/>
        <v>2017.1511.1</v>
      </c>
      <c r="J41" s="5" t="s">
        <v>91</v>
      </c>
      <c r="K41" s="30" t="s">
        <v>105</v>
      </c>
      <c r="L41" s="30" t="s">
        <v>93</v>
      </c>
      <c r="M41" s="30"/>
      <c r="N41" s="30"/>
      <c r="O41" s="30"/>
      <c r="P41" s="5" t="s">
        <v>95</v>
      </c>
      <c r="Q41" s="30" t="s">
        <v>147</v>
      </c>
      <c r="R41" s="30"/>
      <c r="S41" s="23"/>
      <c r="T41" s="23" t="s">
        <v>148</v>
      </c>
      <c r="U41" s="30" t="s">
        <v>100</v>
      </c>
      <c r="V41" s="30" t="s">
        <v>101</v>
      </c>
      <c r="W41" s="5" t="s">
        <v>102</v>
      </c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 t="s">
        <v>103</v>
      </c>
      <c r="AP41" s="5"/>
    </row>
    <row r="42" spans="1:42" ht="14.25" customHeight="1" x14ac:dyDescent="0.35">
      <c r="A42" s="29">
        <v>2022.2152000000001</v>
      </c>
      <c r="B42" s="29" t="s">
        <v>178</v>
      </c>
      <c r="C42" s="21">
        <v>2022</v>
      </c>
      <c r="D42" s="65" t="s">
        <v>90</v>
      </c>
      <c r="E42" s="5"/>
      <c r="F42" s="5" t="b">
        <v>1</v>
      </c>
      <c r="G42" s="5"/>
      <c r="H42" s="5">
        <v>1</v>
      </c>
      <c r="I42" s="29" t="str">
        <f t="shared" si="2"/>
        <v>2022.2152.1</v>
      </c>
      <c r="J42" s="5" t="s">
        <v>110</v>
      </c>
      <c r="K42" s="30" t="s">
        <v>105</v>
      </c>
      <c r="L42" s="30" t="s">
        <v>121</v>
      </c>
      <c r="M42" s="30"/>
      <c r="N42" s="30"/>
      <c r="O42" s="30"/>
      <c r="P42" s="5" t="s">
        <v>95</v>
      </c>
      <c r="Q42" s="30" t="s">
        <v>108</v>
      </c>
      <c r="R42" s="30"/>
      <c r="S42" s="22"/>
      <c r="T42" s="22" t="s">
        <v>97</v>
      </c>
      <c r="U42" s="30" t="s">
        <v>100</v>
      </c>
      <c r="V42" s="30"/>
      <c r="W42" s="5"/>
      <c r="X42" s="5"/>
      <c r="Y42" s="5"/>
      <c r="Z42" s="30"/>
      <c r="AA42" s="30"/>
      <c r="AB42" s="30" t="s">
        <v>91</v>
      </c>
      <c r="AC42" s="5"/>
      <c r="AD42" s="5" t="s">
        <v>102</v>
      </c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 t="s">
        <v>103</v>
      </c>
      <c r="AP42" s="5"/>
    </row>
    <row r="43" spans="1:42" ht="14.25" customHeight="1" x14ac:dyDescent="0.35">
      <c r="A43" s="29">
        <v>2014.97</v>
      </c>
      <c r="B43" s="29" t="s">
        <v>179</v>
      </c>
      <c r="C43" s="21">
        <v>2014</v>
      </c>
      <c r="D43" s="65" t="s">
        <v>90</v>
      </c>
      <c r="E43" s="5"/>
      <c r="F43" s="5" t="b">
        <v>1</v>
      </c>
      <c r="G43" s="5"/>
      <c r="H43" s="5">
        <v>1</v>
      </c>
      <c r="I43" s="29" t="str">
        <f t="shared" si="2"/>
        <v>2014.97.1</v>
      </c>
      <c r="J43" s="5" t="s">
        <v>110</v>
      </c>
      <c r="K43" s="30" t="s">
        <v>105</v>
      </c>
      <c r="L43" s="30"/>
      <c r="M43" s="30"/>
      <c r="N43" s="30"/>
      <c r="O43" s="30"/>
      <c r="P43" s="5" t="s">
        <v>95</v>
      </c>
      <c r="Q43" s="30" t="s">
        <v>111</v>
      </c>
      <c r="R43" s="30"/>
      <c r="S43" s="23"/>
      <c r="T43" s="23" t="s">
        <v>97</v>
      </c>
      <c r="U43" s="30" t="s">
        <v>100</v>
      </c>
      <c r="V43" s="30" t="s">
        <v>101</v>
      </c>
      <c r="W43" s="5" t="s">
        <v>102</v>
      </c>
      <c r="X43" s="5"/>
      <c r="Y43" s="5" t="s">
        <v>102</v>
      </c>
      <c r="Z43" s="30"/>
      <c r="AA43" s="30"/>
      <c r="AB43" s="30"/>
      <c r="AC43" s="5" t="s">
        <v>102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 t="s">
        <v>103</v>
      </c>
      <c r="AP43" s="5"/>
    </row>
    <row r="44" spans="1:42" ht="14.25" customHeight="1" x14ac:dyDescent="0.35">
      <c r="A44" s="29">
        <v>2021.3634</v>
      </c>
      <c r="B44" s="29" t="s">
        <v>180</v>
      </c>
      <c r="C44" s="21">
        <v>2021</v>
      </c>
      <c r="D44" s="65" t="s">
        <v>90</v>
      </c>
      <c r="E44" s="5"/>
      <c r="F44" s="5" t="b">
        <v>1</v>
      </c>
      <c r="G44" s="5"/>
      <c r="H44" s="5">
        <v>1</v>
      </c>
      <c r="I44" s="29" t="str">
        <f t="shared" si="2"/>
        <v>2021.3634.1</v>
      </c>
      <c r="J44" s="5" t="s">
        <v>110</v>
      </c>
      <c r="K44" s="30" t="s">
        <v>112</v>
      </c>
      <c r="L44" s="30" t="s">
        <v>121</v>
      </c>
      <c r="M44" s="30"/>
      <c r="N44" s="30"/>
      <c r="O44" s="30"/>
      <c r="P44" s="5" t="s">
        <v>95</v>
      </c>
      <c r="Q44" s="30" t="s">
        <v>111</v>
      </c>
      <c r="R44" s="30" t="s">
        <v>109</v>
      </c>
      <c r="S44" s="22"/>
      <c r="T44" s="22" t="s">
        <v>97</v>
      </c>
      <c r="U44" s="30" t="s">
        <v>100</v>
      </c>
      <c r="V44" s="30" t="s">
        <v>113</v>
      </c>
      <c r="W44" s="5" t="s">
        <v>102</v>
      </c>
      <c r="X44" s="5"/>
      <c r="Y44" s="5"/>
      <c r="Z44" s="30"/>
      <c r="AA44" s="30"/>
      <c r="AB44" s="30" t="s">
        <v>91</v>
      </c>
      <c r="AC44" s="5"/>
      <c r="AD44" s="5"/>
      <c r="AE44" s="5"/>
      <c r="AF44" s="5"/>
      <c r="AG44" s="5"/>
      <c r="AH44" s="5" t="s">
        <v>102</v>
      </c>
      <c r="AI44" s="5"/>
      <c r="AJ44" s="5"/>
      <c r="AK44" s="5"/>
      <c r="AL44" s="5"/>
      <c r="AM44" s="5"/>
      <c r="AN44" s="5"/>
      <c r="AO44" s="30" t="s">
        <v>103</v>
      </c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2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2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2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2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2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2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2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2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2"/>
      <c r="T52" s="22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2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3"/>
      <c r="T53" s="23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2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2"/>
      <c r="T54" s="22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2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3"/>
      <c r="T55" s="23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T56" s="5"/>
      <c r="U56" s="5"/>
    </row>
    <row r="57" spans="1:42" ht="14.25" customHeight="1" x14ac:dyDescent="0.35">
      <c r="T57" s="5"/>
      <c r="U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5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5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5">
      <formula1>"Primary,Secondary - evidence synthesis,Secondary - other,Unclear"</formula1>
    </dataValidation>
    <dataValidation type="list" allowBlank="1" showErrorMessage="1" sqref="Q6:Q55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5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5">
      <formula1>"Forecast,Modern (1900-2023),Pre-industrial (1850 -1900), Before pre-ind (&lt;1850),Unclear,NA"</formula1>
    </dataValidation>
    <dataValidation type="list" allowBlank="1" showErrorMessage="1" sqref="AK6:AK55">
      <formula1>"TRUE,FALSE"</formula1>
    </dataValidation>
    <dataValidation type="list" allowBlank="1" showErrorMessage="1" sqref="X6:X55">
      <formula1>"Human,Natural,Both,NA"</formula1>
    </dataValidation>
    <dataValidation type="list" allowBlank="1" showErrorMessage="1" sqref="R6:R55">
      <formula1>"Pacific,Atlantic,Indian,Southern,Arctic,Mediterranean or Black Sea,Global,Unclear,NA"</formula1>
    </dataValidation>
    <dataValidation type="list" allowBlank="1" showErrorMessage="1" sqref="S6:S55">
      <formula1>"Salt marsh,Mangrove,Wetland - other,Oyster reef,Coral reef,Macroalgae,Seagrass,Blue carbon - other,Other,NA"</formula1>
    </dataValidation>
    <dataValidation type="list" allowBlank="1" showErrorMessage="1" sqref="V6:V55">
      <formula1>"Micro,Small,Local,Regional,Large,Global,Unclear,NA"</formula1>
    </dataValidation>
    <dataValidation type="list" allowBlank="1" showInputMessage="1" showErrorMessage="1" sqref="N6:N55">
      <formula1>"Inorganic,Organic,Deep sediments, Unclear,NA"</formula1>
    </dataValidation>
    <dataValidation type="list" allowBlank="1" showInputMessage="1" showErrorMessage="1" sqref="AL6:AN55 W6:W55 F6:F55 AC6:AJ55 Y6:Y55">
      <formula1>"TRUE,FALSE"</formula1>
    </dataValidation>
    <dataValidation type="list" allowBlank="1" showErrorMessage="1" sqref="T6:T55">
      <formula1>"Estuary,Land (coastal),Coastal ocean,Oceanic: open-ocean (&lt;=200 m),Oceanic: deep-ocean (&gt; 200 m),Unclear,NA"</formula1>
    </dataValidation>
    <dataValidation type="list" allowBlank="1" showInputMessage="1" showErrorMessage="1" sqref="M6:M55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5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5">
      <formula1>"Regulating,Material,Non-material,NA"</formula1>
    </dataValidation>
    <dataValidation type="list" allowBlank="1" showInputMessage="1" showErrorMessage="1" sqref="AA6:AA55 L6:L55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5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2023-04-24T12:06:36Z</dcterms:modified>
  <cp:category/>
  <cp:contentStatus/>
</cp:coreProperties>
</file>