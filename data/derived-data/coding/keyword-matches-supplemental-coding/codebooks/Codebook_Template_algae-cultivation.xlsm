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Codebook!$A$3:$AR$842</definedName>
  </definedNames>
  <calcPr calcId="162913"/>
  <customWorkbookViews>
    <customWorkbookView name="By Article_ID" guid="{435B08D9-6543-426A-B980-BC70B1B1999E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4" i="2" l="1"/>
  <c r="I34" i="2"/>
  <c r="I45" i="2" l="1"/>
  <c r="I46" i="2"/>
  <c r="I47" i="2"/>
  <c r="I48" i="2"/>
  <c r="I49" i="2"/>
  <c r="I50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5" i="2"/>
  <c r="I36" i="2"/>
  <c r="I37" i="2"/>
  <c r="I38" i="2"/>
  <c r="I39" i="2"/>
  <c r="I40" i="2"/>
  <c r="I41" i="2"/>
  <c r="I42" i="2"/>
  <c r="I43" i="2"/>
  <c r="I51" i="2"/>
  <c r="I52" i="2"/>
  <c r="I53" i="2"/>
  <c r="I54" i="2"/>
</calcChain>
</file>

<file path=xl/sharedStrings.xml><?xml version="1.0" encoding="utf-8"?>
<sst xmlns="http://schemas.openxmlformats.org/spreadsheetml/2006/main" count="677" uniqueCount="203">
  <si>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</si>
  <si>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</si>
  <si>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</si>
  <si>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</si>
  <si>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</si>
  <si>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</si>
  <si>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</si>
  <si>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</si>
  <si>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</si>
  <si>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</si>
  <si>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</si>
  <si>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</si>
  <si>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</si>
  <si>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</si>
  <si>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</si>
  <si>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</si>
  <si>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</si>
  <si>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</si>
  <si>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</si>
  <si>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</si>
  <si>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</si>
  <si>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</si>
  <si>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</si>
  <si>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</si>
  <si>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</si>
  <si>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</si>
  <si>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</si>
  <si>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</si>
  <si>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</si>
  <si>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</si>
  <si>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</si>
  <si>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</si>
  <si>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</si>
  <si>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</si>
  <si>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</si>
  <si>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</si>
  <si>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</si>
  <si>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</si>
  <si>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</si>
  <si>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</si>
  <si>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</si>
  <si>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</si>
  <si>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</si>
  <si>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</si>
  <si>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</si>
  <si>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</si>
  <si>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</si>
  <si>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</si>
  <si>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</si>
  <si>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</si>
  <si>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</si>
  <si>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</si>
  <si>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</si>
  <si>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</si>
  <si>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</si>
  <si>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</si>
  <si>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</si>
  <si>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</si>
  <si>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</si>
  <si>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</si>
  <si>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</si>
  <si>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</si>
  <si>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</si>
  <si>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</si>
  <si>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</si>
  <si>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</si>
  <si>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</si>
  <si>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</si>
  <si>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</si>
  <si>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</si>
  <si>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</si>
  <si>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</si>
  <si>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</si>
  <si>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</si>
  <si>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</si>
  <si>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</si>
  <si>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</si>
  <si>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</si>
  <si>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</si>
  <si>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</si>
  <si>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</si>
  <si>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</si>
  <si>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</si>
  <si>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</si>
  <si>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</si>
  <si>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</si>
  <si>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</si>
  <si>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</si>
  <si>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</si>
  <si>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</si>
  <si>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Devi</t>
  </si>
  <si>
    <t>M. CO2 removal or storage</t>
  </si>
  <si>
    <t>Implemented (+continued assessment)</t>
  </si>
  <si>
    <t>Aquaculture</t>
  </si>
  <si>
    <t>Macroalgae (kelp) cultivation</t>
  </si>
  <si>
    <t>Organic | Deep sediments</t>
  </si>
  <si>
    <t>Primary</t>
  </si>
  <si>
    <t>Observational</t>
  </si>
  <si>
    <t>Macroalgae</t>
  </si>
  <si>
    <t>Coastal ocean</t>
  </si>
  <si>
    <t>Modern (1900-2023)</t>
  </si>
  <si>
    <t>Mathematical prediction/simulation</t>
  </si>
  <si>
    <t>Regional</t>
  </si>
  <si>
    <t>TRUE</t>
  </si>
  <si>
    <t>Biogeochemistry</t>
  </si>
  <si>
    <t>Evaluating future placement/upscaling potential</t>
  </si>
  <si>
    <t>Open-ocean PP | Macroalgae (kelp) cultivation | Coastal blue carbon ecosystems</t>
  </si>
  <si>
    <t>Secondary - evidence synthesis</t>
  </si>
  <si>
    <t>Global</t>
  </si>
  <si>
    <t>Salt marsh | Mangrove | Seagrass | Macroalgae</t>
  </si>
  <si>
    <t>Coastal ocean | Oceanic: open-ocean (&lt;=200 m) | Oceanic: deep-ocean (&gt; 200 m)</t>
  </si>
  <si>
    <t>Open-ocean PP | Macroalgae (kelp) cultivation | Bioenergy</t>
  </si>
  <si>
    <t>Design - observe/concept/preliminary testing/side effects</t>
  </si>
  <si>
    <t>Bioenergy | Macroalgae (kelp) cultivation</t>
  </si>
  <si>
    <t>Chemistry</t>
  </si>
  <si>
    <t>Microalgae cultivation</t>
  </si>
  <si>
    <t>Bioenergy | Microalgae cultivation</t>
  </si>
  <si>
    <t>Fisheries</t>
  </si>
  <si>
    <t>Design - observe/concept/preliminary testing/side effects | Evaluating future placement/upscaling potential</t>
  </si>
  <si>
    <t>Experimental ex-situ</t>
  </si>
  <si>
    <t>Small</t>
  </si>
  <si>
    <t>Macroalgae (kelp) cultivation | Bioenergy</t>
  </si>
  <si>
    <t>Indian</t>
  </si>
  <si>
    <t>Coral reef | Macroalgae | Mangrove</t>
  </si>
  <si>
    <t>Atlantic</t>
  </si>
  <si>
    <t>Local</t>
  </si>
  <si>
    <t>Coastal ocean | Oceanic: deep-ocean (&gt; 200 m)</t>
  </si>
  <si>
    <t>Aquaculture | Other</t>
  </si>
  <si>
    <t>Experimental in-situ</t>
  </si>
  <si>
    <t>Experimental ex-situ | Experimental in-situ</t>
  </si>
  <si>
    <t>Method or technology development</t>
  </si>
  <si>
    <t>Engineering</t>
  </si>
  <si>
    <t>M. Increase efficiency</t>
  </si>
  <si>
    <t>Pilot demo</t>
  </si>
  <si>
    <t>Microalgae cultivation | Bioenergy</t>
  </si>
  <si>
    <t>Land (coastal)</t>
  </si>
  <si>
    <t>Forecast</t>
  </si>
  <si>
    <t>Economics</t>
  </si>
  <si>
    <t>Expert opinion</t>
  </si>
  <si>
    <t>Mediterranean or Black Sea</t>
  </si>
  <si>
    <t>Science &amp; tech - other</t>
  </si>
  <si>
    <t>Regulating</t>
  </si>
  <si>
    <t>Physical science</t>
  </si>
  <si>
    <t>Regulating | Material | Non-material</t>
  </si>
  <si>
    <t>Aquaculture | Pharmaceuticals | Other</t>
  </si>
  <si>
    <t>Dispersal and Deposition of Detritus From Kelp Cultivation</t>
  </si>
  <si>
    <t>A review of existing and potential blue carbon contributions to climate change mitigation in the Anthropocene</t>
  </si>
  <si>
    <t>Marine algae as a co2 sink</t>
  </si>
  <si>
    <t>Integrated Marine Biogas: A Promising Approach towards Sustainability</t>
  </si>
  <si>
    <t>Microalgae cultivation in offshore floating photobioreactor: State-of-the-art, opportunities and challenges</t>
  </si>
  <si>
    <t>Exergy efficiency of solar energy conversion to biomass of green macroalgae Ulva (Chlorophyta) in the photobioreactor</t>
  </si>
  <si>
    <t>Shifting fuel feedstock from oil wells to sea: Iran outlook and potential for biofuel production from brown macroalgae (ochrophyta; phaeophyceae)</t>
  </si>
  <si>
    <t>Estimating growth, loss and potential carbon sequestration of farmed kelp: a case study of Saccharina latissima at Strangford Lough, Northern Ireland</t>
  </si>
  <si>
    <t>Quantifying baseline costs and cataloging potential optimization strategies for kelp aquaculture carbon dioxide removal</t>
  </si>
  <si>
    <t>DEVELOPMENT OF A SCALABLE CULTIVATION SYSTEM FOR SUSTAINABLE PRODUCTION OF ALGAL BIOFUELS</t>
  </si>
  <si>
    <t>WIRELESS ISFET PH SENSOR NETWORK FOR OFFSHORE MICROALGAE CULTIVATION</t>
  </si>
  <si>
    <t>Cultivation study of the marine microalga Picochlorum oculatum and outdoor deployment in a novel bioreactor for high-density production of algal cell mass</t>
  </si>
  <si>
    <t>Growth, protein and carbohydrate contents in Ulva rigida and Gracilaria bursa-pastoris integrated with an offshore fish farm</t>
  </si>
  <si>
    <t>Economic analysis of microalgae biodiesel production in a small-scale facility</t>
  </si>
  <si>
    <t>The prospects for sustainable biodiesel production in Jordan</t>
  </si>
  <si>
    <t>Wave attenuation by suspended canopies with cultivated kelp (Saccharina latissima)</t>
  </si>
  <si>
    <t>An ecosystem approach to kelp aquaculture in the Americas and Europe</t>
  </si>
  <si>
    <t>Year-round sustainable biomass production potential of Nannochloris sp. in outdoor raceway pond enabled through strategic photobiological screening</t>
  </si>
  <si>
    <t>Method or technology development | Mathematical prediction/simulation</t>
  </si>
  <si>
    <t>Implemented (+continued assessment) | Design - observe/concept/preliminary testing/side effects</t>
  </si>
  <si>
    <t>Pacific</t>
  </si>
  <si>
    <t>Fisheries | Biogeochemistry</t>
  </si>
  <si>
    <t>Aquaculture | Renewable energy | Other</t>
  </si>
  <si>
    <t>Mathematical prediction/simulation | Experimental in-situ</t>
  </si>
  <si>
    <t>M. Renewables</t>
  </si>
  <si>
    <t>Microalgae cultivation | Bioenergy | Open-ocean PP | Macroalgae (kelp) cultivation</t>
  </si>
  <si>
    <t>The Analysis on the Current Situation of the Utilization Mode of Microalgal Biomass Materials</t>
  </si>
  <si>
    <t>Material | Regulating</t>
  </si>
  <si>
    <t>Pilot demo | Design - observe/concept/preliminary testing/side effects</t>
  </si>
  <si>
    <t>Engineering | Biogeochemistry</t>
  </si>
  <si>
    <t>Observational | Mathematical prediction/simulation</t>
  </si>
  <si>
    <t>Arctic</t>
  </si>
  <si>
    <t>Local | Small</t>
  </si>
  <si>
    <t>Science &amp; tech - other | Fisheries</t>
  </si>
  <si>
    <t>Engineering | Fisheries</t>
  </si>
  <si>
    <t>Coastal ocean | Land (coastal)</t>
  </si>
  <si>
    <t>Economics | Fisheries</t>
  </si>
  <si>
    <t>Macroalgae (kelp) cultivation | Open-ocean PP</t>
  </si>
  <si>
    <t>Oceanic: open-ocean (&lt;=200 m) | Coastal ocean</t>
  </si>
  <si>
    <t>Aquaculture | Fisheries</t>
  </si>
  <si>
    <t>What is the level of incentivisation required for biomethane upgrading technologies with carbon capture and reuse?</t>
  </si>
  <si>
    <t>Modeling of smart mixing regimes to improve marine biorefinery productivity and energy efficiency</t>
  </si>
  <si>
    <t>Sustainable saline microalgae co-cultivation for biofuel production: A critical review</t>
  </si>
  <si>
    <t>Deep Water Nutrient Supply for an Offshore Ulva sp. Cultivation Project in the Eastern Mediterranean Sea: Experimental Simulation and Modeling</t>
  </si>
  <si>
    <t>Biological processes for mitigation of greenhouse gases</t>
  </si>
  <si>
    <t>Experimental study of sub-model of a kelp farm with textile sheet</t>
  </si>
  <si>
    <t>Optimizing microalgae cultivation and wastewater treatment in large-scale offshore photobioreactors</t>
  </si>
  <si>
    <t>Growth of marine macroalgae Ectocarpus sp. on various textile substrates</t>
  </si>
  <si>
    <t>Carbon migration of microalgae from cultivation towards biofuel production by hydrothermal technology: A review</t>
  </si>
  <si>
    <t>Energy performance and greenhouse gas emissions of kelp cultivation for biogas and fertilizer recovery in Sweden</t>
  </si>
  <si>
    <t>KELP FARM AND OTEC-1 UPWELLING PIPES.</t>
  </si>
  <si>
    <t>Effect of cultivation mode on microalgal growth and CO2 fixation</t>
  </si>
  <si>
    <t>Progress on the development of floating photobioreactor for microalgae cultivation and its application potential</t>
  </si>
  <si>
    <t>Carbon streaming in microalgae: extraction and analysis methods for high value compounds</t>
  </si>
  <si>
    <t>Seawater supplemented with bicarbonate for efficient marine microalgae production in floating photobioreactor on ocean: A case study of Chlorella sp.</t>
  </si>
  <si>
    <t>Synergy of biofuel production with waste remediation along with value-added co-products recovery through microalgae cultivation: A review of membrane-integrated green approach</t>
  </si>
  <si>
    <t>The underexplored potential of green macroalgae in aquaculture</t>
  </si>
  <si>
    <t>ENVIRONMENTAL ENHANCEMENT OF THE OCEANS BY INCREASED SOLAR RADIATION FROM SPACE.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</si>
</sst>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9" fillId="0" borderId="0" xfId="0" applyFont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4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2"/>
  <sheetViews>
    <sheetView tabSelected="1" zoomScale="120" zoomScaleNormal="120" workbookViewId="0">
      <pane ySplit="5" topLeftCell="A6" activePane="bottomLeft" state="frozen"/>
      <selection pane="bottomLeft" activeCell="E42" sqref="E42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2022.5759</v>
      </c>
      <c r="B6" s="17" t="s">
        <v>145</v>
      </c>
      <c r="C6" s="18">
        <v>2022</v>
      </c>
      <c r="D6" s="65" t="s">
        <v>90</v>
      </c>
      <c r="E6" s="5"/>
      <c r="F6" s="5" t="b">
        <v>1</v>
      </c>
      <c r="G6" s="5"/>
      <c r="H6" s="5">
        <v>1</v>
      </c>
      <c r="I6" s="29" t="str">
        <f t="shared" ref="I6:I36" si="0">IF(ISNUMBER(H6),CONCATENATE(A6, ".",H6))</f>
        <v>2022.5759.1</v>
      </c>
      <c r="J6" s="5" t="s">
        <v>91</v>
      </c>
      <c r="K6" s="30" t="s">
        <v>92</v>
      </c>
      <c r="L6" s="30" t="s">
        <v>93</v>
      </c>
      <c r="M6" s="30" t="s">
        <v>94</v>
      </c>
      <c r="N6" s="30" t="s">
        <v>95</v>
      </c>
      <c r="O6" s="30"/>
      <c r="P6" s="5" t="s">
        <v>96</v>
      </c>
      <c r="Q6" s="30" t="s">
        <v>101</v>
      </c>
      <c r="R6" s="30"/>
      <c r="S6" s="22" t="s">
        <v>98</v>
      </c>
      <c r="T6" s="22" t="s">
        <v>99</v>
      </c>
      <c r="U6" s="30" t="s">
        <v>100</v>
      </c>
      <c r="V6" s="30" t="s">
        <v>102</v>
      </c>
      <c r="W6" s="5" t="s">
        <v>103</v>
      </c>
      <c r="X6" s="5"/>
      <c r="Y6" s="5"/>
      <c r="Z6" s="30"/>
      <c r="AA6" s="30"/>
      <c r="AB6" s="30"/>
      <c r="AC6" s="5"/>
      <c r="AD6" s="5" t="s">
        <v>103</v>
      </c>
      <c r="AE6" s="5"/>
      <c r="AF6" s="5"/>
      <c r="AG6" s="5"/>
      <c r="AH6" s="5"/>
      <c r="AI6" s="5"/>
      <c r="AJ6" s="5"/>
      <c r="AK6" s="5"/>
      <c r="AL6" s="5"/>
      <c r="AM6" s="5"/>
      <c r="AN6" s="5"/>
      <c r="AO6" s="30" t="s">
        <v>104</v>
      </c>
      <c r="AP6" s="5"/>
    </row>
    <row r="7" spans="1:42" ht="14.25" customHeight="1" x14ac:dyDescent="0.35">
      <c r="A7" s="16">
        <v>2022.1351999999999</v>
      </c>
      <c r="B7" s="17" t="s">
        <v>146</v>
      </c>
      <c r="C7" s="18">
        <v>2022</v>
      </c>
      <c r="D7" s="65" t="s">
        <v>90</v>
      </c>
      <c r="E7" s="5"/>
      <c r="F7" s="5" t="b">
        <v>1</v>
      </c>
      <c r="G7" s="5"/>
      <c r="H7" s="5">
        <v>1</v>
      </c>
      <c r="I7" s="29" t="str">
        <f t="shared" si="0"/>
        <v>2022.1352.1</v>
      </c>
      <c r="J7" s="5" t="s">
        <v>91</v>
      </c>
      <c r="K7" s="30" t="s">
        <v>105</v>
      </c>
      <c r="L7" s="30" t="s">
        <v>93</v>
      </c>
      <c r="M7" s="30" t="s">
        <v>106</v>
      </c>
      <c r="N7" s="30" t="s">
        <v>95</v>
      </c>
      <c r="O7" s="30"/>
      <c r="P7" s="5" t="s">
        <v>107</v>
      </c>
      <c r="Q7" s="30"/>
      <c r="R7" s="30" t="s">
        <v>108</v>
      </c>
      <c r="S7" s="23" t="s">
        <v>109</v>
      </c>
      <c r="T7" s="23" t="s">
        <v>110</v>
      </c>
      <c r="U7" s="30"/>
      <c r="V7" s="30"/>
      <c r="W7" s="5" t="s">
        <v>103</v>
      </c>
      <c r="X7" s="5"/>
      <c r="Y7" s="5"/>
      <c r="Z7" s="30"/>
      <c r="AA7" s="30"/>
      <c r="AB7" s="30"/>
      <c r="AC7" s="5" t="s">
        <v>103</v>
      </c>
      <c r="AD7" s="5" t="s">
        <v>103</v>
      </c>
      <c r="AE7" s="5"/>
      <c r="AF7" s="5"/>
      <c r="AG7" s="5"/>
      <c r="AH7" s="5" t="s">
        <v>103</v>
      </c>
      <c r="AI7" s="5"/>
      <c r="AJ7" s="5"/>
      <c r="AK7" s="5"/>
      <c r="AL7" s="5"/>
      <c r="AM7" s="5"/>
      <c r="AN7" s="5"/>
      <c r="AO7" s="30" t="s">
        <v>104</v>
      </c>
      <c r="AP7" s="5"/>
    </row>
    <row r="8" spans="1:42" ht="14.25" customHeight="1" x14ac:dyDescent="0.35">
      <c r="A8" s="16">
        <v>1992.165</v>
      </c>
      <c r="B8" s="17" t="s">
        <v>147</v>
      </c>
      <c r="C8" s="18">
        <v>1992</v>
      </c>
      <c r="D8" s="65" t="s">
        <v>90</v>
      </c>
      <c r="E8" s="5"/>
      <c r="F8" s="5" t="b">
        <v>1</v>
      </c>
      <c r="G8" s="5"/>
      <c r="H8" s="5">
        <v>1</v>
      </c>
      <c r="I8" s="29" t="str">
        <f t="shared" si="0"/>
        <v>1992.165.1</v>
      </c>
      <c r="J8" s="5" t="s">
        <v>91</v>
      </c>
      <c r="K8" s="30" t="s">
        <v>105</v>
      </c>
      <c r="L8" s="30" t="s">
        <v>93</v>
      </c>
      <c r="M8" s="30" t="s">
        <v>111</v>
      </c>
      <c r="N8" s="30" t="s">
        <v>95</v>
      </c>
      <c r="O8" s="30"/>
      <c r="P8" s="5" t="s">
        <v>107</v>
      </c>
      <c r="Q8" s="30"/>
      <c r="R8" s="30"/>
      <c r="S8" s="22" t="s">
        <v>98</v>
      </c>
      <c r="T8" s="22" t="s">
        <v>110</v>
      </c>
      <c r="U8" s="30"/>
      <c r="V8" s="30"/>
      <c r="W8" s="5" t="s">
        <v>103</v>
      </c>
      <c r="X8" s="5"/>
      <c r="Y8" s="5"/>
      <c r="Z8" s="30"/>
      <c r="AA8" s="30"/>
      <c r="AB8" s="30"/>
      <c r="AC8" s="5" t="s">
        <v>103</v>
      </c>
      <c r="AD8" s="5" t="s">
        <v>103</v>
      </c>
      <c r="AE8" s="5"/>
      <c r="AF8" s="5"/>
      <c r="AG8" s="5"/>
      <c r="AH8" s="5" t="s">
        <v>103</v>
      </c>
      <c r="AI8" s="5"/>
      <c r="AJ8" s="5"/>
      <c r="AK8" s="5"/>
      <c r="AL8" s="5"/>
      <c r="AM8" s="5"/>
      <c r="AN8" s="5"/>
      <c r="AO8" s="30" t="s">
        <v>104</v>
      </c>
      <c r="AP8" s="5"/>
    </row>
    <row r="9" spans="1:42" ht="14.25" customHeight="1" x14ac:dyDescent="0.35">
      <c r="A9" s="16">
        <v>2022.5234</v>
      </c>
      <c r="B9" s="17" t="s">
        <v>148</v>
      </c>
      <c r="C9" s="18">
        <v>2022</v>
      </c>
      <c r="D9" s="65" t="s">
        <v>90</v>
      </c>
      <c r="E9" s="5"/>
      <c r="F9" s="5" t="b">
        <v>1</v>
      </c>
      <c r="G9" s="5"/>
      <c r="H9" s="5">
        <v>1</v>
      </c>
      <c r="I9" s="29" t="str">
        <f t="shared" si="0"/>
        <v>2022.5234.1</v>
      </c>
      <c r="J9" s="5" t="s">
        <v>91</v>
      </c>
      <c r="K9" s="30" t="s">
        <v>112</v>
      </c>
      <c r="L9" s="30" t="s">
        <v>93</v>
      </c>
      <c r="M9" s="30" t="s">
        <v>113</v>
      </c>
      <c r="N9" s="30"/>
      <c r="O9" s="30"/>
      <c r="P9" s="5" t="s">
        <v>107</v>
      </c>
      <c r="Q9" s="30"/>
      <c r="R9" s="30"/>
      <c r="S9" s="23" t="s">
        <v>98</v>
      </c>
      <c r="T9" s="23" t="s">
        <v>99</v>
      </c>
      <c r="U9" s="30"/>
      <c r="V9" s="30"/>
      <c r="W9" s="5" t="s">
        <v>103</v>
      </c>
      <c r="X9" s="5"/>
      <c r="Y9" s="5"/>
      <c r="Z9" s="30"/>
      <c r="AA9" s="30"/>
      <c r="AB9" s="30"/>
      <c r="AC9" s="5" t="s">
        <v>103</v>
      </c>
      <c r="AD9" s="5" t="s">
        <v>103</v>
      </c>
      <c r="AE9" s="5"/>
      <c r="AF9" s="5"/>
      <c r="AG9" s="5"/>
      <c r="AH9" s="5"/>
      <c r="AI9" s="5"/>
      <c r="AJ9" s="5"/>
      <c r="AK9" s="5"/>
      <c r="AL9" s="5"/>
      <c r="AM9" s="5"/>
      <c r="AN9" s="5"/>
      <c r="AO9" s="30" t="s">
        <v>114</v>
      </c>
      <c r="AP9" s="5"/>
    </row>
    <row r="10" spans="1:42" ht="14.25" customHeight="1" x14ac:dyDescent="0.35">
      <c r="A10" s="16">
        <v>2022.6048000000001</v>
      </c>
      <c r="B10" s="17" t="s">
        <v>149</v>
      </c>
      <c r="C10" s="18">
        <v>2022</v>
      </c>
      <c r="D10" s="65" t="s">
        <v>90</v>
      </c>
      <c r="E10" s="5"/>
      <c r="F10" s="5" t="b">
        <v>1</v>
      </c>
      <c r="G10" s="5"/>
      <c r="H10" s="5">
        <v>1</v>
      </c>
      <c r="I10" s="29" t="str">
        <f t="shared" si="0"/>
        <v>2022.6048.1</v>
      </c>
      <c r="J10" s="5" t="s">
        <v>91</v>
      </c>
      <c r="K10" s="30" t="s">
        <v>112</v>
      </c>
      <c r="L10" s="30" t="s">
        <v>144</v>
      </c>
      <c r="M10" s="30" t="s">
        <v>116</v>
      </c>
      <c r="N10" s="30" t="s">
        <v>95</v>
      </c>
      <c r="O10" s="30"/>
      <c r="P10" s="5" t="s">
        <v>107</v>
      </c>
      <c r="Q10" s="30"/>
      <c r="R10" s="30"/>
      <c r="S10" s="22"/>
      <c r="T10" s="22" t="s">
        <v>99</v>
      </c>
      <c r="U10" s="30"/>
      <c r="V10" s="30"/>
      <c r="W10" s="5"/>
      <c r="X10" s="5"/>
      <c r="Y10" s="5"/>
      <c r="Z10" s="30"/>
      <c r="AA10" s="30"/>
      <c r="AB10" s="30"/>
      <c r="AC10" s="5" t="s">
        <v>103</v>
      </c>
      <c r="AD10" s="5" t="s">
        <v>103</v>
      </c>
      <c r="AE10" s="5"/>
      <c r="AF10" s="5"/>
      <c r="AG10" s="5"/>
      <c r="AH10" s="5" t="s">
        <v>103</v>
      </c>
      <c r="AI10" s="5"/>
      <c r="AJ10" s="5"/>
      <c r="AK10" s="5"/>
      <c r="AL10" s="5"/>
      <c r="AM10" s="5"/>
      <c r="AN10" s="5"/>
      <c r="AO10" s="30" t="s">
        <v>117</v>
      </c>
      <c r="AP10" s="5"/>
    </row>
    <row r="11" spans="1:42" ht="14.25" customHeight="1" x14ac:dyDescent="0.35">
      <c r="A11" s="16">
        <v>2018.1407400000001</v>
      </c>
      <c r="B11" s="17" t="s">
        <v>150</v>
      </c>
      <c r="C11" s="18">
        <v>2018</v>
      </c>
      <c r="D11" s="65" t="s">
        <v>90</v>
      </c>
      <c r="E11" s="5"/>
      <c r="F11" s="5" t="b">
        <v>1</v>
      </c>
      <c r="G11" s="5"/>
      <c r="H11" s="5">
        <v>1</v>
      </c>
      <c r="I11" s="29" t="str">
        <f t="shared" si="0"/>
        <v>2018.14074.1</v>
      </c>
      <c r="J11" s="5" t="s">
        <v>91</v>
      </c>
      <c r="K11" s="30" t="s">
        <v>118</v>
      </c>
      <c r="L11" s="30" t="s">
        <v>93</v>
      </c>
      <c r="M11" s="30" t="s">
        <v>113</v>
      </c>
      <c r="N11" s="30"/>
      <c r="O11" s="30"/>
      <c r="P11" s="5" t="s">
        <v>96</v>
      </c>
      <c r="Q11" s="30" t="s">
        <v>119</v>
      </c>
      <c r="R11" s="30"/>
      <c r="S11" s="23" t="s">
        <v>98</v>
      </c>
      <c r="T11" s="23" t="s">
        <v>99</v>
      </c>
      <c r="U11" s="30" t="s">
        <v>100</v>
      </c>
      <c r="V11" s="30" t="s">
        <v>120</v>
      </c>
      <c r="W11" s="5" t="s">
        <v>103</v>
      </c>
      <c r="X11" s="5"/>
      <c r="Y11" s="5"/>
      <c r="Z11" s="30"/>
      <c r="AA11" s="30"/>
      <c r="AB11" s="30"/>
      <c r="AC11" s="5" t="s">
        <v>103</v>
      </c>
      <c r="AD11" s="5" t="s">
        <v>103</v>
      </c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30" t="s">
        <v>114</v>
      </c>
      <c r="AP11" s="5"/>
    </row>
    <row r="12" spans="1:42" ht="14.25" customHeight="1" x14ac:dyDescent="0.35">
      <c r="A12" s="16">
        <v>2019.354</v>
      </c>
      <c r="B12" s="17" t="s">
        <v>151</v>
      </c>
      <c r="C12" s="18">
        <v>2019</v>
      </c>
      <c r="D12" s="65" t="s">
        <v>90</v>
      </c>
      <c r="E12" s="5"/>
      <c r="F12" s="5" t="b">
        <v>1</v>
      </c>
      <c r="G12" s="5"/>
      <c r="H12" s="5">
        <v>1</v>
      </c>
      <c r="I12" s="29" t="str">
        <f t="shared" si="0"/>
        <v>2019.354.1</v>
      </c>
      <c r="J12" s="5" t="s">
        <v>91</v>
      </c>
      <c r="K12" s="30" t="s">
        <v>105</v>
      </c>
      <c r="L12" s="30" t="s">
        <v>93</v>
      </c>
      <c r="M12" s="30" t="s">
        <v>121</v>
      </c>
      <c r="N12" s="30"/>
      <c r="O12" s="30"/>
      <c r="P12" s="5" t="s">
        <v>96</v>
      </c>
      <c r="Q12" s="30" t="s">
        <v>101</v>
      </c>
      <c r="R12" s="30" t="s">
        <v>122</v>
      </c>
      <c r="S12" s="22" t="s">
        <v>123</v>
      </c>
      <c r="T12" s="22" t="s">
        <v>99</v>
      </c>
      <c r="U12" s="30" t="s">
        <v>100</v>
      </c>
      <c r="V12" s="30" t="s">
        <v>102</v>
      </c>
      <c r="W12" s="5" t="s">
        <v>103</v>
      </c>
      <c r="X12" s="5"/>
      <c r="Y12" s="5"/>
      <c r="Z12" s="30"/>
      <c r="AA12" s="30"/>
      <c r="AB12" s="30"/>
      <c r="AC12" s="5" t="s">
        <v>103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30" t="s">
        <v>104</v>
      </c>
      <c r="AP12" s="5"/>
    </row>
    <row r="13" spans="1:42" ht="14.25" customHeight="1" x14ac:dyDescent="0.35">
      <c r="A13" s="16">
        <v>2022.20642</v>
      </c>
      <c r="B13" s="17" t="s">
        <v>152</v>
      </c>
      <c r="C13" s="18">
        <v>2022</v>
      </c>
      <c r="D13" s="65" t="s">
        <v>90</v>
      </c>
      <c r="E13" s="5"/>
      <c r="F13" s="5" t="b">
        <v>1</v>
      </c>
      <c r="G13" s="5"/>
      <c r="H13" s="5">
        <v>1</v>
      </c>
      <c r="I13" s="29" t="str">
        <f t="shared" si="0"/>
        <v>2022.20642.1</v>
      </c>
      <c r="J13" s="5" t="s">
        <v>91</v>
      </c>
      <c r="K13" s="30" t="s">
        <v>92</v>
      </c>
      <c r="L13" s="30" t="s">
        <v>93</v>
      </c>
      <c r="M13" s="30" t="s">
        <v>94</v>
      </c>
      <c r="N13" s="30" t="s">
        <v>95</v>
      </c>
      <c r="O13" s="30"/>
      <c r="P13" s="5" t="s">
        <v>96</v>
      </c>
      <c r="Q13" s="30" t="s">
        <v>97</v>
      </c>
      <c r="R13" s="30" t="s">
        <v>124</v>
      </c>
      <c r="S13" s="23"/>
      <c r="T13" s="23" t="s">
        <v>99</v>
      </c>
      <c r="U13" s="30" t="s">
        <v>100</v>
      </c>
      <c r="V13" s="30" t="s">
        <v>125</v>
      </c>
      <c r="W13" s="5" t="s">
        <v>103</v>
      </c>
      <c r="X13" s="5"/>
      <c r="Y13" s="5"/>
      <c r="Z13" s="30"/>
      <c r="AA13" s="30"/>
      <c r="AB13" s="30"/>
      <c r="AC13" s="5"/>
      <c r="AD13" s="5"/>
      <c r="AE13" s="5"/>
      <c r="AF13" s="5"/>
      <c r="AG13" s="5"/>
      <c r="AH13" s="5"/>
      <c r="AI13" s="5"/>
      <c r="AJ13" s="5" t="s">
        <v>103</v>
      </c>
      <c r="AK13" s="5"/>
      <c r="AL13" s="5"/>
      <c r="AM13" s="5"/>
      <c r="AN13" s="5"/>
      <c r="AO13" s="30" t="s">
        <v>104</v>
      </c>
      <c r="AP13" s="5"/>
    </row>
    <row r="14" spans="1:42" ht="14.25" customHeight="1" x14ac:dyDescent="0.35">
      <c r="A14" s="16">
        <v>2022.4836</v>
      </c>
      <c r="B14" s="17" t="s">
        <v>153</v>
      </c>
      <c r="C14" s="18">
        <v>2022</v>
      </c>
      <c r="D14" s="65" t="s">
        <v>90</v>
      </c>
      <c r="E14" s="5"/>
      <c r="F14" s="5" t="b">
        <v>1</v>
      </c>
      <c r="G14" s="5"/>
      <c r="H14" s="5">
        <v>1</v>
      </c>
      <c r="I14" s="29" t="str">
        <f t="shared" si="0"/>
        <v>2022.4836.1</v>
      </c>
      <c r="J14" s="5" t="s">
        <v>91</v>
      </c>
      <c r="K14" s="30" t="s">
        <v>105</v>
      </c>
      <c r="L14" s="30" t="s">
        <v>127</v>
      </c>
      <c r="M14" s="30" t="s">
        <v>94</v>
      </c>
      <c r="N14" s="30" t="s">
        <v>95</v>
      </c>
      <c r="O14" s="30"/>
      <c r="P14" s="5" t="s">
        <v>96</v>
      </c>
      <c r="Q14" s="30" t="s">
        <v>101</v>
      </c>
      <c r="R14" s="30" t="s">
        <v>124</v>
      </c>
      <c r="S14" s="22"/>
      <c r="T14" s="22" t="s">
        <v>126</v>
      </c>
      <c r="U14" s="30" t="s">
        <v>100</v>
      </c>
      <c r="V14" s="30" t="s">
        <v>102</v>
      </c>
      <c r="W14" s="5" t="s">
        <v>103</v>
      </c>
      <c r="X14" s="5"/>
      <c r="Y14" s="5"/>
      <c r="Z14" s="30"/>
      <c r="AA14" s="30"/>
      <c r="AB14" s="30"/>
      <c r="AC14" s="5" t="s">
        <v>103</v>
      </c>
      <c r="AD14" s="5"/>
      <c r="AE14" s="5"/>
      <c r="AF14" s="5"/>
      <c r="AG14" s="5"/>
      <c r="AH14" s="5" t="s">
        <v>103</v>
      </c>
      <c r="AI14" s="5"/>
      <c r="AJ14" s="5"/>
      <c r="AK14" s="5"/>
      <c r="AL14" s="5"/>
      <c r="AM14" s="5"/>
      <c r="AN14" s="5"/>
      <c r="AO14" s="30" t="s">
        <v>104</v>
      </c>
      <c r="AP14" s="5"/>
    </row>
    <row r="15" spans="1:42" ht="14.25" customHeight="1" x14ac:dyDescent="0.35">
      <c r="A15" s="16">
        <v>2015.3214</v>
      </c>
      <c r="B15" s="17" t="s">
        <v>154</v>
      </c>
      <c r="C15" s="18">
        <v>2015</v>
      </c>
      <c r="D15" s="65" t="s">
        <v>90</v>
      </c>
      <c r="E15" s="5"/>
      <c r="F15" s="5" t="b">
        <v>1</v>
      </c>
      <c r="G15" s="5"/>
      <c r="H15" s="5">
        <v>1</v>
      </c>
      <c r="I15" s="29" t="str">
        <f t="shared" si="0"/>
        <v>2015.3214.1</v>
      </c>
      <c r="J15" s="5" t="s">
        <v>91</v>
      </c>
      <c r="K15" s="30" t="s">
        <v>112</v>
      </c>
      <c r="L15" s="30" t="s">
        <v>93</v>
      </c>
      <c r="M15" s="30" t="s">
        <v>116</v>
      </c>
      <c r="N15" s="30"/>
      <c r="O15" s="30"/>
      <c r="P15" s="5" t="s">
        <v>96</v>
      </c>
      <c r="Q15" s="30" t="s">
        <v>129</v>
      </c>
      <c r="R15" s="30" t="s">
        <v>124</v>
      </c>
      <c r="S15" s="23"/>
      <c r="T15" s="23" t="s">
        <v>99</v>
      </c>
      <c r="U15" s="30" t="s">
        <v>100</v>
      </c>
      <c r="V15" s="30" t="s">
        <v>120</v>
      </c>
      <c r="W15" s="5" t="s">
        <v>103</v>
      </c>
      <c r="X15" s="5"/>
      <c r="Y15" s="5"/>
      <c r="Z15" s="30"/>
      <c r="AA15" s="30"/>
      <c r="AB15" s="30"/>
      <c r="AC15" s="5"/>
      <c r="AD15" s="5" t="s">
        <v>103</v>
      </c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30" t="s">
        <v>104</v>
      </c>
      <c r="AP15" s="5"/>
    </row>
    <row r="16" spans="1:42" ht="14.25" customHeight="1" x14ac:dyDescent="0.35">
      <c r="A16" s="16">
        <v>2013.7922000000001</v>
      </c>
      <c r="B16" s="17" t="s">
        <v>155</v>
      </c>
      <c r="C16" s="18">
        <v>2013</v>
      </c>
      <c r="D16" s="65" t="s">
        <v>90</v>
      </c>
      <c r="E16" s="5"/>
      <c r="F16" s="5" t="b">
        <v>1</v>
      </c>
      <c r="G16" s="5"/>
      <c r="H16" s="5">
        <v>1</v>
      </c>
      <c r="I16" s="29" t="str">
        <f t="shared" si="0"/>
        <v>2013.7922.1</v>
      </c>
      <c r="J16" s="5" t="s">
        <v>91</v>
      </c>
      <c r="K16" s="30" t="s">
        <v>112</v>
      </c>
      <c r="L16" s="30" t="s">
        <v>93</v>
      </c>
      <c r="M16" s="30" t="s">
        <v>116</v>
      </c>
      <c r="N16" s="30"/>
      <c r="O16" s="30"/>
      <c r="P16" s="5" t="s">
        <v>96</v>
      </c>
      <c r="Q16" s="30" t="s">
        <v>130</v>
      </c>
      <c r="R16" s="30"/>
      <c r="S16" s="22"/>
      <c r="T16" s="22" t="s">
        <v>99</v>
      </c>
      <c r="U16" s="30" t="s">
        <v>100</v>
      </c>
      <c r="V16" s="30" t="s">
        <v>125</v>
      </c>
      <c r="W16" s="5"/>
      <c r="X16" s="5"/>
      <c r="Y16" s="5"/>
      <c r="Z16" s="30"/>
      <c r="AA16" s="30"/>
      <c r="AB16" s="30"/>
      <c r="AC16" s="5" t="s">
        <v>103</v>
      </c>
      <c r="AD16" s="5" t="s">
        <v>103</v>
      </c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30" t="s">
        <v>131</v>
      </c>
      <c r="AP16" s="5"/>
    </row>
    <row r="17" spans="1:42" ht="14.25" customHeight="1" x14ac:dyDescent="0.35">
      <c r="A17" s="16">
        <v>2016.1762000000001</v>
      </c>
      <c r="B17" s="17" t="s">
        <v>156</v>
      </c>
      <c r="C17" s="18">
        <v>2016</v>
      </c>
      <c r="D17" s="65" t="s">
        <v>90</v>
      </c>
      <c r="E17" s="5"/>
      <c r="F17" s="5" t="b">
        <v>1</v>
      </c>
      <c r="G17" s="5"/>
      <c r="H17" s="5">
        <v>1</v>
      </c>
      <c r="I17" s="29" t="str">
        <f t="shared" si="0"/>
        <v>2016.1762.1</v>
      </c>
      <c r="J17" s="5" t="s">
        <v>91</v>
      </c>
      <c r="K17" s="30" t="s">
        <v>105</v>
      </c>
      <c r="L17" s="30" t="s">
        <v>93</v>
      </c>
      <c r="M17" s="30" t="s">
        <v>116</v>
      </c>
      <c r="N17" s="30"/>
      <c r="O17" s="30"/>
      <c r="P17" s="5" t="s">
        <v>96</v>
      </c>
      <c r="Q17" s="30" t="s">
        <v>130</v>
      </c>
      <c r="R17" s="30" t="s">
        <v>124</v>
      </c>
      <c r="S17" s="23"/>
      <c r="T17" s="23" t="s">
        <v>99</v>
      </c>
      <c r="U17" s="30" t="s">
        <v>100</v>
      </c>
      <c r="V17" s="30" t="s">
        <v>120</v>
      </c>
      <c r="W17" s="5"/>
      <c r="X17" s="5"/>
      <c r="Y17" s="5"/>
      <c r="Z17" s="30"/>
      <c r="AA17" s="30"/>
      <c r="AB17" s="30"/>
      <c r="AC17" s="5" t="s">
        <v>103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30" t="s">
        <v>131</v>
      </c>
      <c r="AP17" s="5"/>
    </row>
    <row r="18" spans="1:42" ht="14.25" customHeight="1" x14ac:dyDescent="0.35">
      <c r="A18" s="16">
        <v>2016.11256</v>
      </c>
      <c r="B18" s="17" t="s">
        <v>157</v>
      </c>
      <c r="C18" s="18">
        <v>2016</v>
      </c>
      <c r="D18" s="65" t="s">
        <v>90</v>
      </c>
      <c r="E18" s="5"/>
      <c r="F18" s="5" t="b">
        <v>1</v>
      </c>
      <c r="G18" s="5"/>
      <c r="H18" s="5">
        <v>1</v>
      </c>
      <c r="I18" s="29" t="str">
        <f t="shared" si="0"/>
        <v>2016.11256.1</v>
      </c>
      <c r="J18" s="5" t="s">
        <v>132</v>
      </c>
      <c r="K18" s="30" t="s">
        <v>133</v>
      </c>
      <c r="L18" s="30" t="s">
        <v>93</v>
      </c>
      <c r="M18" s="30"/>
      <c r="N18" s="30"/>
      <c r="O18" s="30"/>
      <c r="P18" s="5" t="s">
        <v>96</v>
      </c>
      <c r="Q18" s="30" t="s">
        <v>128</v>
      </c>
      <c r="R18" s="30"/>
      <c r="S18" s="22"/>
      <c r="T18" s="22" t="s">
        <v>99</v>
      </c>
      <c r="U18" s="30" t="s">
        <v>100</v>
      </c>
      <c r="V18" s="30" t="s">
        <v>125</v>
      </c>
      <c r="W18" s="5" t="s">
        <v>103</v>
      </c>
      <c r="X18" s="5"/>
      <c r="Y18" s="5"/>
      <c r="Z18" s="30"/>
      <c r="AA18" s="30"/>
      <c r="AB18" s="30" t="s">
        <v>91</v>
      </c>
      <c r="AC18" s="5"/>
      <c r="AD18" s="5" t="s">
        <v>103</v>
      </c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30" t="s">
        <v>117</v>
      </c>
      <c r="AP18" s="5"/>
    </row>
    <row r="19" spans="1:42" ht="14.25" customHeight="1" x14ac:dyDescent="0.35">
      <c r="A19" s="16">
        <v>2016.11256</v>
      </c>
      <c r="B19" s="17" t="s">
        <v>157</v>
      </c>
      <c r="C19" s="18">
        <v>2016</v>
      </c>
      <c r="D19" s="65" t="s">
        <v>90</v>
      </c>
      <c r="E19" s="5"/>
      <c r="F19" s="5" t="b">
        <v>1</v>
      </c>
      <c r="G19" s="5"/>
      <c r="H19" s="5">
        <v>1</v>
      </c>
      <c r="I19" s="29" t="str">
        <f t="shared" si="0"/>
        <v>2016.11256.1</v>
      </c>
      <c r="J19" s="5" t="s">
        <v>91</v>
      </c>
      <c r="K19" s="30" t="s">
        <v>133</v>
      </c>
      <c r="L19" s="30" t="s">
        <v>93</v>
      </c>
      <c r="M19" s="30" t="s">
        <v>94</v>
      </c>
      <c r="N19" s="30"/>
      <c r="O19" s="30"/>
      <c r="P19" s="5" t="s">
        <v>96</v>
      </c>
      <c r="Q19" s="30" t="s">
        <v>128</v>
      </c>
      <c r="R19" s="30"/>
      <c r="S19" s="22" t="s">
        <v>98</v>
      </c>
      <c r="T19" s="22" t="s">
        <v>99</v>
      </c>
      <c r="U19" s="30" t="s">
        <v>100</v>
      </c>
      <c r="V19" s="30" t="s">
        <v>125</v>
      </c>
      <c r="W19" s="5" t="s">
        <v>103</v>
      </c>
      <c r="X19" s="5"/>
      <c r="Y19" s="5"/>
      <c r="Z19" s="30"/>
      <c r="AA19" s="30"/>
      <c r="AB19" s="30" t="s">
        <v>132</v>
      </c>
      <c r="AC19" s="5"/>
      <c r="AD19" s="5" t="s">
        <v>103</v>
      </c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30" t="s">
        <v>117</v>
      </c>
      <c r="AP19" s="5"/>
    </row>
    <row r="20" spans="1:42" ht="14.25" customHeight="1" x14ac:dyDescent="0.35">
      <c r="A20" s="16">
        <v>2020.2529</v>
      </c>
      <c r="B20" s="17" t="s">
        <v>158</v>
      </c>
      <c r="C20" s="18">
        <v>2020</v>
      </c>
      <c r="D20" s="65" t="s">
        <v>90</v>
      </c>
      <c r="E20" s="5"/>
      <c r="F20" s="5" t="b">
        <v>1</v>
      </c>
      <c r="G20" s="5"/>
      <c r="H20" s="5">
        <v>1</v>
      </c>
      <c r="I20" s="29" t="str">
        <f t="shared" si="0"/>
        <v>2020.2529.1</v>
      </c>
      <c r="J20" s="5" t="s">
        <v>91</v>
      </c>
      <c r="K20" s="30" t="s">
        <v>105</v>
      </c>
      <c r="L20" s="30" t="s">
        <v>93</v>
      </c>
      <c r="M20" s="30" t="s">
        <v>134</v>
      </c>
      <c r="N20" s="30"/>
      <c r="O20" s="30"/>
      <c r="P20" s="5" t="s">
        <v>96</v>
      </c>
      <c r="Q20" s="30" t="s">
        <v>101</v>
      </c>
      <c r="R20" s="30"/>
      <c r="S20" s="22"/>
      <c r="T20" s="22"/>
      <c r="U20" s="30" t="s">
        <v>136</v>
      </c>
      <c r="V20" s="30" t="s">
        <v>125</v>
      </c>
      <c r="W20" s="5" t="s">
        <v>103</v>
      </c>
      <c r="X20" s="5"/>
      <c r="Y20" s="5"/>
      <c r="Z20" s="30"/>
      <c r="AA20" s="30"/>
      <c r="AB20" s="30"/>
      <c r="AC20" s="5" t="s">
        <v>103</v>
      </c>
      <c r="AD20" s="5" t="s">
        <v>103</v>
      </c>
      <c r="AE20" s="5"/>
      <c r="AF20" s="5"/>
      <c r="AG20" s="5"/>
      <c r="AH20" s="5" t="s">
        <v>103</v>
      </c>
      <c r="AI20" s="5"/>
      <c r="AJ20" s="5"/>
      <c r="AK20" s="5"/>
      <c r="AL20" s="5"/>
      <c r="AM20" s="5"/>
      <c r="AN20" s="5"/>
      <c r="AO20" s="30" t="s">
        <v>137</v>
      </c>
      <c r="AP20" s="5"/>
    </row>
    <row r="21" spans="1:42" ht="14.25" customHeight="1" x14ac:dyDescent="0.35">
      <c r="A21" s="16">
        <v>2010.8045</v>
      </c>
      <c r="B21" s="17" t="s">
        <v>159</v>
      </c>
      <c r="C21" s="18">
        <v>2010</v>
      </c>
      <c r="D21" s="65" t="s">
        <v>90</v>
      </c>
      <c r="E21" s="5"/>
      <c r="F21" s="5" t="b">
        <v>1</v>
      </c>
      <c r="G21" s="5"/>
      <c r="H21" s="5">
        <v>1</v>
      </c>
      <c r="I21" s="29" t="str">
        <f t="shared" si="0"/>
        <v>2010.8045.1</v>
      </c>
      <c r="J21" s="5" t="s">
        <v>91</v>
      </c>
      <c r="K21" s="30" t="s">
        <v>105</v>
      </c>
      <c r="L21" s="30" t="s">
        <v>93</v>
      </c>
      <c r="M21" s="30" t="s">
        <v>134</v>
      </c>
      <c r="N21" s="30"/>
      <c r="O21" s="30"/>
      <c r="P21" s="5" t="s">
        <v>96</v>
      </c>
      <c r="Q21" s="30" t="s">
        <v>138</v>
      </c>
      <c r="R21" s="30" t="s">
        <v>139</v>
      </c>
      <c r="S21" s="23"/>
      <c r="T21" s="23"/>
      <c r="U21" s="30"/>
      <c r="V21" s="30" t="s">
        <v>102</v>
      </c>
      <c r="W21" s="5"/>
      <c r="X21" s="5"/>
      <c r="Y21" s="5"/>
      <c r="Z21" s="30"/>
      <c r="AA21" s="30"/>
      <c r="AB21" s="30" t="s">
        <v>132</v>
      </c>
      <c r="AC21" s="5" t="s">
        <v>103</v>
      </c>
      <c r="AD21" s="5" t="s">
        <v>103</v>
      </c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30" t="s">
        <v>140</v>
      </c>
      <c r="AP21" s="5"/>
    </row>
    <row r="22" spans="1:42" ht="14.25" customHeight="1" x14ac:dyDescent="0.35">
      <c r="A22" s="16">
        <v>2021.1660400000001</v>
      </c>
      <c r="B22" s="17" t="s">
        <v>160</v>
      </c>
      <c r="C22" s="18">
        <v>2021</v>
      </c>
      <c r="D22" s="65" t="s">
        <v>90</v>
      </c>
      <c r="E22" s="5"/>
      <c r="F22" s="5" t="b">
        <v>1</v>
      </c>
      <c r="G22" s="5"/>
      <c r="H22" s="5">
        <v>1</v>
      </c>
      <c r="I22" s="29" t="str">
        <f t="shared" si="0"/>
        <v>2021.16604.1</v>
      </c>
      <c r="J22" s="5" t="s">
        <v>91</v>
      </c>
      <c r="K22" s="30" t="s">
        <v>92</v>
      </c>
      <c r="L22" s="30" t="s">
        <v>93</v>
      </c>
      <c r="M22" s="30" t="s">
        <v>94</v>
      </c>
      <c r="N22" s="30"/>
      <c r="O22" s="30"/>
      <c r="P22" s="5" t="s">
        <v>96</v>
      </c>
      <c r="Q22" s="30" t="s">
        <v>119</v>
      </c>
      <c r="R22" s="30" t="s">
        <v>124</v>
      </c>
      <c r="S22" s="22" t="s">
        <v>98</v>
      </c>
      <c r="T22" s="22" t="s">
        <v>99</v>
      </c>
      <c r="U22" s="30" t="s">
        <v>100</v>
      </c>
      <c r="V22" s="30" t="s">
        <v>125</v>
      </c>
      <c r="W22" s="5"/>
      <c r="X22" s="5"/>
      <c r="Y22" s="5"/>
      <c r="Z22" s="30" t="s">
        <v>141</v>
      </c>
      <c r="AA22" s="30"/>
      <c r="AB22" s="30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30" t="s">
        <v>142</v>
      </c>
      <c r="AP22" s="5"/>
    </row>
    <row r="23" spans="1:42" ht="14.25" customHeight="1" x14ac:dyDescent="0.35">
      <c r="A23" s="16">
        <v>2019.97</v>
      </c>
      <c r="B23" s="17" t="s">
        <v>161</v>
      </c>
      <c r="C23" s="18">
        <v>2019</v>
      </c>
      <c r="D23" s="65" t="s">
        <v>90</v>
      </c>
      <c r="E23" s="5"/>
      <c r="F23" s="5" t="b">
        <v>1</v>
      </c>
      <c r="G23" s="5"/>
      <c r="H23" s="5">
        <v>1</v>
      </c>
      <c r="I23" s="29" t="str">
        <f t="shared" si="0"/>
        <v>2019.97.1</v>
      </c>
      <c r="J23" s="5" t="s">
        <v>91</v>
      </c>
      <c r="K23" s="30" t="s">
        <v>105</v>
      </c>
      <c r="L23" s="30" t="s">
        <v>93</v>
      </c>
      <c r="M23" s="30" t="s">
        <v>94</v>
      </c>
      <c r="N23" s="30"/>
      <c r="O23" s="30"/>
      <c r="P23" s="5" t="s">
        <v>96</v>
      </c>
      <c r="Q23" s="30" t="s">
        <v>138</v>
      </c>
      <c r="R23" s="30" t="s">
        <v>124</v>
      </c>
      <c r="S23" s="23" t="s">
        <v>98</v>
      </c>
      <c r="T23" s="23" t="s">
        <v>99</v>
      </c>
      <c r="U23" s="30" t="s">
        <v>100</v>
      </c>
      <c r="V23" s="30" t="s">
        <v>125</v>
      </c>
      <c r="W23" s="5"/>
      <c r="X23" s="5"/>
      <c r="Y23" s="5" t="s">
        <v>103</v>
      </c>
      <c r="Z23" s="30" t="s">
        <v>143</v>
      </c>
      <c r="AA23" s="30" t="s">
        <v>117</v>
      </c>
      <c r="AB23" s="30"/>
      <c r="AC23" s="5"/>
      <c r="AD23" s="5"/>
      <c r="AE23" s="5"/>
      <c r="AF23" s="5"/>
      <c r="AG23" s="5"/>
      <c r="AH23" s="5"/>
      <c r="AI23" s="5"/>
      <c r="AJ23" s="5" t="s">
        <v>103</v>
      </c>
      <c r="AK23" s="5"/>
      <c r="AL23" s="5"/>
      <c r="AM23" s="5"/>
      <c r="AN23" s="5"/>
      <c r="AO23" s="30" t="s">
        <v>117</v>
      </c>
      <c r="AP23" s="5"/>
    </row>
    <row r="24" spans="1:42" ht="14.25" customHeight="1" x14ac:dyDescent="0.35">
      <c r="A24" s="16">
        <v>2022.3137999999999</v>
      </c>
      <c r="B24" s="17" t="s">
        <v>162</v>
      </c>
      <c r="C24" s="18">
        <v>2022</v>
      </c>
      <c r="D24" s="65" t="s">
        <v>90</v>
      </c>
      <c r="E24" s="5"/>
      <c r="F24" s="5" t="b">
        <v>1</v>
      </c>
      <c r="G24" s="5"/>
      <c r="H24" s="5">
        <v>1</v>
      </c>
      <c r="I24" s="29" t="str">
        <f t="shared" si="0"/>
        <v>2022.3138.1</v>
      </c>
      <c r="J24" s="5" t="s">
        <v>91</v>
      </c>
      <c r="K24" s="30" t="s">
        <v>133</v>
      </c>
      <c r="L24" s="30" t="s">
        <v>144</v>
      </c>
      <c r="M24" s="30" t="s">
        <v>115</v>
      </c>
      <c r="N24" s="30"/>
      <c r="O24" s="30"/>
      <c r="P24" s="5" t="s">
        <v>96</v>
      </c>
      <c r="Q24" s="30" t="s">
        <v>128</v>
      </c>
      <c r="R24" s="30"/>
      <c r="S24" s="22"/>
      <c r="T24" s="22" t="s">
        <v>99</v>
      </c>
      <c r="U24" s="30" t="s">
        <v>100</v>
      </c>
      <c r="V24" s="30" t="s">
        <v>125</v>
      </c>
      <c r="W24" s="5" t="s">
        <v>103</v>
      </c>
      <c r="X24" s="5"/>
      <c r="Y24" s="5"/>
      <c r="Z24" s="30"/>
      <c r="AA24" s="30"/>
      <c r="AB24" s="30"/>
      <c r="AC24" s="5" t="s">
        <v>103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30" t="s">
        <v>117</v>
      </c>
      <c r="AP24" s="5"/>
    </row>
    <row r="25" spans="1:42" ht="14.25" customHeight="1" x14ac:dyDescent="0.35">
      <c r="A25" s="16">
        <v>2019.4575</v>
      </c>
      <c r="B25" s="17" t="s">
        <v>185</v>
      </c>
      <c r="C25" s="18">
        <v>2019</v>
      </c>
      <c r="D25" s="65" t="s">
        <v>90</v>
      </c>
      <c r="E25" s="5"/>
      <c r="F25" s="5" t="b">
        <v>1</v>
      </c>
      <c r="G25" s="5"/>
      <c r="H25" s="5">
        <v>1</v>
      </c>
      <c r="I25" s="29" t="str">
        <f t="shared" si="0"/>
        <v>2019.4575.1</v>
      </c>
      <c r="J25" s="5" t="s">
        <v>91</v>
      </c>
      <c r="K25" s="30" t="s">
        <v>105</v>
      </c>
      <c r="L25" s="30" t="s">
        <v>93</v>
      </c>
      <c r="M25" s="30" t="s">
        <v>134</v>
      </c>
      <c r="N25" s="30"/>
      <c r="O25" s="30"/>
      <c r="P25" s="5" t="s">
        <v>96</v>
      </c>
      <c r="Q25" s="30" t="s">
        <v>101</v>
      </c>
      <c r="R25" s="30"/>
      <c r="S25" s="23"/>
      <c r="T25" s="23"/>
      <c r="U25" s="30" t="s">
        <v>100</v>
      </c>
      <c r="V25" s="30"/>
      <c r="W25" s="5"/>
      <c r="X25" s="5"/>
      <c r="Y25" s="5"/>
      <c r="Z25" s="30"/>
      <c r="AA25" s="30"/>
      <c r="AB25" s="30"/>
      <c r="AC25" s="5"/>
      <c r="AD25" s="5" t="s">
        <v>103</v>
      </c>
      <c r="AE25" s="5"/>
      <c r="AF25" s="5"/>
      <c r="AG25" s="5"/>
      <c r="AH25" s="5" t="s">
        <v>103</v>
      </c>
      <c r="AI25" s="5"/>
      <c r="AJ25" s="5"/>
      <c r="AK25" s="5"/>
      <c r="AL25" s="5"/>
      <c r="AM25" s="5"/>
      <c r="AN25" s="5"/>
      <c r="AO25" s="30" t="s">
        <v>137</v>
      </c>
      <c r="AP25" s="5"/>
    </row>
    <row r="26" spans="1:42" ht="14.25" customHeight="1" x14ac:dyDescent="0.35">
      <c r="A26" s="19">
        <v>2015.1124400000001</v>
      </c>
      <c r="B26" s="19" t="s">
        <v>186</v>
      </c>
      <c r="C26" s="20">
        <v>2015</v>
      </c>
      <c r="D26" s="65" t="s">
        <v>90</v>
      </c>
      <c r="E26" s="5"/>
      <c r="F26" s="5" t="b">
        <v>1</v>
      </c>
      <c r="G26" s="5"/>
      <c r="H26" s="5">
        <v>1</v>
      </c>
      <c r="I26" s="29" t="str">
        <f t="shared" si="0"/>
        <v>2015.11244.1</v>
      </c>
      <c r="J26" s="5" t="s">
        <v>91</v>
      </c>
      <c r="K26" s="30" t="s">
        <v>112</v>
      </c>
      <c r="L26" s="30" t="s">
        <v>93</v>
      </c>
      <c r="M26" s="30" t="s">
        <v>121</v>
      </c>
      <c r="N26" s="30"/>
      <c r="O26" s="30"/>
      <c r="P26" s="5" t="s">
        <v>96</v>
      </c>
      <c r="Q26" s="30" t="s">
        <v>163</v>
      </c>
      <c r="R26" s="30"/>
      <c r="S26" s="22" t="s">
        <v>98</v>
      </c>
      <c r="T26" s="22" t="s">
        <v>99</v>
      </c>
      <c r="U26" s="30" t="s">
        <v>100</v>
      </c>
      <c r="V26" s="30"/>
      <c r="W26" s="5" t="s">
        <v>103</v>
      </c>
      <c r="X26" s="5"/>
      <c r="Y26" s="5"/>
      <c r="Z26" s="30"/>
      <c r="AA26" s="30"/>
      <c r="AB26" s="30"/>
      <c r="AC26" s="5" t="s">
        <v>103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30" t="s">
        <v>104</v>
      </c>
      <c r="AP26" s="5"/>
    </row>
    <row r="27" spans="1:42" ht="14.25" customHeight="1" x14ac:dyDescent="0.35">
      <c r="A27" s="19">
        <v>2017.3320000000001</v>
      </c>
      <c r="B27" s="19" t="s">
        <v>187</v>
      </c>
      <c r="C27" s="20">
        <v>2017</v>
      </c>
      <c r="D27" s="65" t="s">
        <v>90</v>
      </c>
      <c r="E27" s="5"/>
      <c r="F27" s="5" t="b">
        <v>1</v>
      </c>
      <c r="G27" s="5"/>
      <c r="H27" s="5">
        <v>1</v>
      </c>
      <c r="I27" s="29" t="str">
        <f t="shared" si="0"/>
        <v>2017.332.1</v>
      </c>
      <c r="J27" s="5" t="s">
        <v>91</v>
      </c>
      <c r="K27" s="30" t="s">
        <v>164</v>
      </c>
      <c r="L27" s="30" t="s">
        <v>93</v>
      </c>
      <c r="M27" s="30" t="s">
        <v>134</v>
      </c>
      <c r="N27" s="30"/>
      <c r="O27" s="30"/>
      <c r="P27" s="5" t="s">
        <v>107</v>
      </c>
      <c r="Q27" s="30"/>
      <c r="R27" s="30" t="s">
        <v>165</v>
      </c>
      <c r="S27" s="23"/>
      <c r="T27" s="23" t="s">
        <v>99</v>
      </c>
      <c r="U27" s="30"/>
      <c r="V27" s="30"/>
      <c r="W27" s="5" t="s">
        <v>103</v>
      </c>
      <c r="X27" s="5"/>
      <c r="Y27" s="5" t="s">
        <v>103</v>
      </c>
      <c r="Z27" s="30"/>
      <c r="AA27" s="30"/>
      <c r="AB27" s="30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30" t="s">
        <v>166</v>
      </c>
      <c r="AP27" s="5"/>
    </row>
    <row r="28" spans="1:42" ht="14.25" customHeight="1" x14ac:dyDescent="0.35">
      <c r="A28" s="19">
        <v>2019.1599900000001</v>
      </c>
      <c r="B28" s="19" t="s">
        <v>188</v>
      </c>
      <c r="C28" s="20">
        <v>2019</v>
      </c>
      <c r="D28" s="65" t="s">
        <v>90</v>
      </c>
      <c r="E28" s="5"/>
      <c r="F28" s="5" t="b">
        <v>1</v>
      </c>
      <c r="G28" s="5"/>
      <c r="H28" s="5">
        <v>1</v>
      </c>
      <c r="I28" s="29" t="str">
        <f t="shared" si="0"/>
        <v>2019.15999.1</v>
      </c>
      <c r="J28" s="5" t="s">
        <v>91</v>
      </c>
      <c r="K28" s="30" t="s">
        <v>133</v>
      </c>
      <c r="L28" s="30" t="s">
        <v>167</v>
      </c>
      <c r="M28" s="30" t="s">
        <v>121</v>
      </c>
      <c r="N28" s="30"/>
      <c r="O28" s="30"/>
      <c r="P28" s="5" t="s">
        <v>96</v>
      </c>
      <c r="Q28" s="30" t="s">
        <v>168</v>
      </c>
      <c r="R28" s="30" t="s">
        <v>139</v>
      </c>
      <c r="S28" s="22" t="s">
        <v>98</v>
      </c>
      <c r="T28" s="22" t="s">
        <v>99</v>
      </c>
      <c r="U28" s="30" t="s">
        <v>100</v>
      </c>
      <c r="V28" s="30" t="s">
        <v>125</v>
      </c>
      <c r="W28" s="5" t="s">
        <v>103</v>
      </c>
      <c r="X28" s="5"/>
      <c r="Y28" s="5"/>
      <c r="Z28" s="30"/>
      <c r="AA28" s="30"/>
      <c r="AB28" s="30" t="s">
        <v>169</v>
      </c>
      <c r="AC28" s="5"/>
      <c r="AD28" s="5" t="s">
        <v>103</v>
      </c>
      <c r="AE28" s="5"/>
      <c r="AF28" s="5"/>
      <c r="AG28" s="5"/>
      <c r="AH28" s="5" t="s">
        <v>103</v>
      </c>
      <c r="AI28" s="5"/>
      <c r="AJ28" s="5"/>
      <c r="AK28" s="5"/>
      <c r="AL28" s="5"/>
      <c r="AM28" s="5"/>
      <c r="AN28" s="5"/>
      <c r="AO28" s="30" t="s">
        <v>104</v>
      </c>
      <c r="AP28" s="5"/>
    </row>
    <row r="29" spans="1:42" ht="14.25" customHeight="1" x14ac:dyDescent="0.35">
      <c r="A29" s="29">
        <v>1999.223</v>
      </c>
      <c r="B29" s="29" t="s">
        <v>189</v>
      </c>
      <c r="C29" s="21">
        <v>1999</v>
      </c>
      <c r="D29" s="65" t="s">
        <v>90</v>
      </c>
      <c r="E29" s="5"/>
      <c r="F29" s="5" t="b">
        <v>1</v>
      </c>
      <c r="G29" s="5"/>
      <c r="H29" s="5">
        <v>1</v>
      </c>
      <c r="I29" s="29" t="str">
        <f t="shared" si="0"/>
        <v>1999.223.1</v>
      </c>
      <c r="J29" s="5" t="s">
        <v>91</v>
      </c>
      <c r="K29" s="30" t="s">
        <v>105</v>
      </c>
      <c r="L29" s="30" t="s">
        <v>93</v>
      </c>
      <c r="M29" s="30" t="s">
        <v>170</v>
      </c>
      <c r="N29" s="30"/>
      <c r="O29" s="30"/>
      <c r="P29" s="5" t="s">
        <v>107</v>
      </c>
      <c r="Q29" s="30"/>
      <c r="R29" s="30"/>
      <c r="S29" s="23"/>
      <c r="T29" s="23"/>
      <c r="U29" s="30"/>
      <c r="V29" s="30"/>
      <c r="W29" s="5" t="s">
        <v>103</v>
      </c>
      <c r="X29" s="5"/>
      <c r="Y29" s="5"/>
      <c r="Z29" s="30"/>
      <c r="AA29" s="30"/>
      <c r="AB29" s="30"/>
      <c r="AC29" s="5" t="s">
        <v>103</v>
      </c>
      <c r="AD29" s="5" t="s">
        <v>103</v>
      </c>
      <c r="AE29" s="5"/>
      <c r="AF29" s="5"/>
      <c r="AG29" s="5"/>
      <c r="AH29" s="5" t="s">
        <v>103</v>
      </c>
      <c r="AI29" s="5"/>
      <c r="AJ29" s="5" t="s">
        <v>103</v>
      </c>
      <c r="AK29" s="5"/>
      <c r="AL29" s="5"/>
      <c r="AM29" s="5"/>
      <c r="AN29" s="5"/>
      <c r="AO29" s="30" t="s">
        <v>178</v>
      </c>
      <c r="AP29" s="5"/>
    </row>
    <row r="30" spans="1:42" ht="14.25" customHeight="1" x14ac:dyDescent="0.35">
      <c r="A30" s="29">
        <v>2020.2164499999999</v>
      </c>
      <c r="B30" s="29" t="s">
        <v>190</v>
      </c>
      <c r="C30" s="21">
        <v>2020</v>
      </c>
      <c r="D30" s="65" t="s">
        <v>90</v>
      </c>
      <c r="E30" s="5"/>
      <c r="F30" s="5" t="b">
        <v>1</v>
      </c>
      <c r="G30" s="5"/>
      <c r="H30" s="5">
        <v>1</v>
      </c>
      <c r="I30" s="29" t="str">
        <f t="shared" si="0"/>
        <v>2020.21645.1</v>
      </c>
      <c r="J30" s="5" t="s">
        <v>91</v>
      </c>
      <c r="K30" s="30" t="s">
        <v>112</v>
      </c>
      <c r="L30" s="30" t="s">
        <v>93</v>
      </c>
      <c r="M30" s="30" t="s">
        <v>94</v>
      </c>
      <c r="N30" s="30"/>
      <c r="O30" s="30"/>
      <c r="P30" s="5" t="s">
        <v>96</v>
      </c>
      <c r="Q30" s="30" t="s">
        <v>130</v>
      </c>
      <c r="R30" s="30"/>
      <c r="S30" s="22" t="s">
        <v>98</v>
      </c>
      <c r="T30" s="22" t="s">
        <v>99</v>
      </c>
      <c r="U30" s="30"/>
      <c r="V30" s="30"/>
      <c r="W30" s="5"/>
      <c r="X30" s="5"/>
      <c r="Y30" s="5"/>
      <c r="Z30" s="30"/>
      <c r="AA30" s="30"/>
      <c r="AB30" s="30"/>
      <c r="AC30" s="5"/>
      <c r="AD30" s="5" t="s">
        <v>103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30" t="s">
        <v>179</v>
      </c>
      <c r="AP30" s="5"/>
    </row>
    <row r="31" spans="1:42" ht="14.25" customHeight="1" x14ac:dyDescent="0.35">
      <c r="A31" s="29">
        <v>2016.3330000000001</v>
      </c>
      <c r="B31" s="29" t="s">
        <v>191</v>
      </c>
      <c r="C31" s="21">
        <v>2016</v>
      </c>
      <c r="D31" s="65" t="s">
        <v>90</v>
      </c>
      <c r="E31" s="5"/>
      <c r="F31" s="5" t="b">
        <v>1</v>
      </c>
      <c r="G31" s="5"/>
      <c r="H31" s="5">
        <v>1</v>
      </c>
      <c r="I31" s="29" t="str">
        <f t="shared" si="0"/>
        <v>2016.333.1</v>
      </c>
      <c r="J31" s="5" t="s">
        <v>91</v>
      </c>
      <c r="K31" s="30" t="s">
        <v>133</v>
      </c>
      <c r="L31" s="30" t="s">
        <v>7</v>
      </c>
      <c r="M31" s="30" t="s">
        <v>134</v>
      </c>
      <c r="N31" s="30"/>
      <c r="O31" s="30"/>
      <c r="P31" s="5" t="s">
        <v>96</v>
      </c>
      <c r="Q31" s="30" t="s">
        <v>97</v>
      </c>
      <c r="R31" s="30"/>
      <c r="S31" s="23"/>
      <c r="T31" s="23" t="s">
        <v>99</v>
      </c>
      <c r="U31" s="30" t="s">
        <v>100</v>
      </c>
      <c r="V31" s="30" t="s">
        <v>125</v>
      </c>
      <c r="W31" s="5" t="s">
        <v>103</v>
      </c>
      <c r="X31" s="5"/>
      <c r="Y31" s="5" t="s">
        <v>103</v>
      </c>
      <c r="Z31" s="30" t="s">
        <v>141</v>
      </c>
      <c r="AA31" s="30" t="s">
        <v>7</v>
      </c>
      <c r="AB31" s="30"/>
      <c r="AC31" s="5"/>
      <c r="AD31" s="5"/>
      <c r="AE31" s="5"/>
      <c r="AF31" s="5"/>
      <c r="AG31" s="5"/>
      <c r="AH31" s="5"/>
      <c r="AI31" s="5"/>
      <c r="AJ31" s="5"/>
      <c r="AK31" s="5" t="s">
        <v>103</v>
      </c>
      <c r="AL31" s="5"/>
      <c r="AM31" s="5"/>
      <c r="AN31" s="5"/>
      <c r="AO31" s="30" t="s">
        <v>104</v>
      </c>
      <c r="AP31" s="5"/>
    </row>
    <row r="32" spans="1:42" ht="14.25" customHeight="1" x14ac:dyDescent="0.35">
      <c r="A32" s="29">
        <v>2022.2763</v>
      </c>
      <c r="B32" s="29" t="s">
        <v>171</v>
      </c>
      <c r="C32" s="21">
        <v>2022</v>
      </c>
      <c r="D32" s="65" t="s">
        <v>90</v>
      </c>
      <c r="E32" s="5"/>
      <c r="F32" s="5" t="b">
        <v>1</v>
      </c>
      <c r="G32" s="5"/>
      <c r="H32" s="5">
        <v>1</v>
      </c>
      <c r="I32" s="29" t="str">
        <f t="shared" si="0"/>
        <v>2022.2763.1</v>
      </c>
      <c r="J32" s="5" t="s">
        <v>91</v>
      </c>
      <c r="K32" s="30" t="s">
        <v>164</v>
      </c>
      <c r="L32" s="30" t="s">
        <v>93</v>
      </c>
      <c r="M32" s="30" t="s">
        <v>134</v>
      </c>
      <c r="N32" s="30"/>
      <c r="O32" s="30"/>
      <c r="P32" s="5" t="s">
        <v>107</v>
      </c>
      <c r="Q32" s="30"/>
      <c r="R32" s="30" t="s">
        <v>108</v>
      </c>
      <c r="S32" s="22"/>
      <c r="T32" s="22" t="s">
        <v>135</v>
      </c>
      <c r="U32" s="30"/>
      <c r="V32" s="30"/>
      <c r="W32" s="5" t="s">
        <v>103</v>
      </c>
      <c r="X32" s="5"/>
      <c r="Y32" s="5"/>
      <c r="Z32" s="30" t="s">
        <v>172</v>
      </c>
      <c r="AA32" s="30" t="s">
        <v>7</v>
      </c>
      <c r="AB32" s="30" t="s">
        <v>132</v>
      </c>
      <c r="AC32" s="5"/>
      <c r="AD32" s="5" t="s">
        <v>103</v>
      </c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30" t="s">
        <v>178</v>
      </c>
      <c r="AP32" s="5"/>
    </row>
    <row r="33" spans="1:42" ht="14.25" customHeight="1" x14ac:dyDescent="0.35">
      <c r="A33" s="29">
        <v>2022.1833200000001</v>
      </c>
      <c r="B33" s="29" t="s">
        <v>192</v>
      </c>
      <c r="C33" s="21">
        <v>2022</v>
      </c>
      <c r="D33" s="65" t="s">
        <v>90</v>
      </c>
      <c r="E33" s="5"/>
      <c r="F33" s="5" t="b">
        <v>1</v>
      </c>
      <c r="G33" s="5"/>
      <c r="H33" s="5">
        <v>1</v>
      </c>
      <c r="I33" s="29" t="str">
        <f t="shared" si="0"/>
        <v>2022.18332.1</v>
      </c>
      <c r="J33" s="5" t="s">
        <v>91</v>
      </c>
      <c r="K33" s="30" t="s">
        <v>173</v>
      </c>
      <c r="L33" s="30" t="s">
        <v>144</v>
      </c>
      <c r="M33" s="30" t="s">
        <v>121</v>
      </c>
      <c r="N33" s="30"/>
      <c r="O33" s="30"/>
      <c r="P33" s="5" t="s">
        <v>96</v>
      </c>
      <c r="Q33" s="30" t="s">
        <v>128</v>
      </c>
      <c r="R33" s="30"/>
      <c r="S33" s="23" t="s">
        <v>98</v>
      </c>
      <c r="T33" s="23" t="s">
        <v>99</v>
      </c>
      <c r="U33" s="30" t="s">
        <v>100</v>
      </c>
      <c r="V33" s="30" t="s">
        <v>120</v>
      </c>
      <c r="W33" s="5" t="s">
        <v>103</v>
      </c>
      <c r="X33" s="5"/>
      <c r="Y33" s="5" t="s">
        <v>103</v>
      </c>
      <c r="Z33" s="30"/>
      <c r="AA33" s="30"/>
      <c r="AB33" s="30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30" t="s">
        <v>174</v>
      </c>
      <c r="AP33" s="5"/>
    </row>
    <row r="34" spans="1:42" ht="14.25" customHeight="1" x14ac:dyDescent="0.35">
      <c r="A34" s="29">
        <v>2023.4739999999999</v>
      </c>
      <c r="B34" s="29" t="s">
        <v>193</v>
      </c>
      <c r="C34" s="21">
        <v>2023</v>
      </c>
      <c r="D34" s="65" t="s">
        <v>90</v>
      </c>
      <c r="E34" s="5"/>
      <c r="F34" s="5" t="b">
        <v>1</v>
      </c>
      <c r="G34" s="5"/>
      <c r="H34" s="5">
        <v>1</v>
      </c>
      <c r="I34" s="29" t="str">
        <f t="shared" ref="I34" si="1">IF(ISNUMBER(H34),CONCATENATE(A34, ".",H34))</f>
        <v>2023.474.1</v>
      </c>
      <c r="J34" s="5" t="s">
        <v>91</v>
      </c>
      <c r="K34" s="30" t="s">
        <v>92</v>
      </c>
      <c r="L34" s="30" t="s">
        <v>93</v>
      </c>
      <c r="M34" s="30" t="s">
        <v>134</v>
      </c>
      <c r="N34" s="30"/>
      <c r="O34" s="30"/>
      <c r="P34" s="5" t="s">
        <v>107</v>
      </c>
      <c r="Q34" s="30"/>
      <c r="R34" s="30"/>
      <c r="S34" s="22"/>
      <c r="T34" s="22"/>
      <c r="U34" s="30"/>
      <c r="V34" s="30"/>
      <c r="W34" s="5" t="s">
        <v>103</v>
      </c>
      <c r="X34" s="5"/>
      <c r="Y34" s="5" t="s">
        <v>103</v>
      </c>
      <c r="Z34" s="30"/>
      <c r="AA34" s="30" t="s">
        <v>93</v>
      </c>
      <c r="AB34" s="30"/>
      <c r="AC34" s="5"/>
      <c r="AD34" s="5"/>
      <c r="AE34" s="5"/>
      <c r="AF34" s="5"/>
      <c r="AG34" s="5"/>
      <c r="AH34" s="5" t="s">
        <v>103</v>
      </c>
      <c r="AI34" s="5"/>
      <c r="AJ34" s="5"/>
      <c r="AK34" s="5"/>
      <c r="AL34" s="5"/>
      <c r="AM34" s="5"/>
      <c r="AN34" s="5"/>
      <c r="AO34" s="30" t="s">
        <v>178</v>
      </c>
      <c r="AP34" s="5"/>
    </row>
    <row r="35" spans="1:42" ht="14.25" customHeight="1" x14ac:dyDescent="0.35">
      <c r="A35" s="29">
        <v>2016.4764</v>
      </c>
      <c r="B35" s="29" t="s">
        <v>194</v>
      </c>
      <c r="C35" s="21">
        <v>2016</v>
      </c>
      <c r="D35" s="65" t="s">
        <v>90</v>
      </c>
      <c r="E35" s="5"/>
      <c r="F35" s="5" t="b">
        <v>1</v>
      </c>
      <c r="G35" s="5"/>
      <c r="H35" s="5">
        <v>1</v>
      </c>
      <c r="I35" s="29" t="str">
        <f t="shared" si="0"/>
        <v>2016.4764.1</v>
      </c>
      <c r="J35" s="5" t="s">
        <v>91</v>
      </c>
      <c r="K35" s="30" t="s">
        <v>105</v>
      </c>
      <c r="L35" s="30" t="s">
        <v>93</v>
      </c>
      <c r="M35" s="30" t="s">
        <v>121</v>
      </c>
      <c r="N35" s="30"/>
      <c r="O35" s="30"/>
      <c r="P35" s="5" t="s">
        <v>96</v>
      </c>
      <c r="Q35" s="30" t="s">
        <v>175</v>
      </c>
      <c r="R35" s="30" t="s">
        <v>176</v>
      </c>
      <c r="S35" s="23" t="s">
        <v>98</v>
      </c>
      <c r="T35" s="23" t="s">
        <v>99</v>
      </c>
      <c r="U35" s="30" t="s">
        <v>100</v>
      </c>
      <c r="V35" s="30" t="s">
        <v>177</v>
      </c>
      <c r="W35" s="5" t="s">
        <v>103</v>
      </c>
      <c r="X35" s="5"/>
      <c r="Y35" s="5"/>
      <c r="Z35" s="30"/>
      <c r="AA35" s="30" t="s">
        <v>93</v>
      </c>
      <c r="AB35" s="30"/>
      <c r="AC35" s="5" t="s">
        <v>103</v>
      </c>
      <c r="AD35" s="5"/>
      <c r="AE35" s="5"/>
      <c r="AF35" s="5"/>
      <c r="AG35" s="5"/>
      <c r="AH35" s="5" t="s">
        <v>103</v>
      </c>
      <c r="AI35" s="5"/>
      <c r="AJ35" s="5" t="s">
        <v>103</v>
      </c>
      <c r="AK35" s="5"/>
      <c r="AL35" s="5"/>
      <c r="AM35" s="5"/>
      <c r="AN35" s="5"/>
      <c r="AO35" s="30" t="s">
        <v>178</v>
      </c>
      <c r="AP35" s="5"/>
    </row>
    <row r="36" spans="1:42" ht="14.25" customHeight="1" x14ac:dyDescent="0.35">
      <c r="A36" s="29">
        <v>1979.2583</v>
      </c>
      <c r="B36" s="29" t="s">
        <v>195</v>
      </c>
      <c r="C36" s="21">
        <v>1979</v>
      </c>
      <c r="D36" s="65" t="s">
        <v>90</v>
      </c>
      <c r="E36" s="5"/>
      <c r="F36" s="5" t="b">
        <v>1</v>
      </c>
      <c r="G36" s="5"/>
      <c r="H36" s="5">
        <v>1</v>
      </c>
      <c r="I36" s="29" t="str">
        <f t="shared" si="0"/>
        <v>1979.2583.1</v>
      </c>
      <c r="J36" s="5" t="s">
        <v>91</v>
      </c>
      <c r="K36" s="30" t="s">
        <v>133</v>
      </c>
      <c r="L36" s="30" t="s">
        <v>93</v>
      </c>
      <c r="M36" s="30" t="s">
        <v>94</v>
      </c>
      <c r="N36" s="30"/>
      <c r="O36" s="30"/>
      <c r="P36" s="5" t="s">
        <v>96</v>
      </c>
      <c r="Q36" s="30" t="s">
        <v>97</v>
      </c>
      <c r="R36" s="30" t="s">
        <v>165</v>
      </c>
      <c r="S36" s="22" t="s">
        <v>98</v>
      </c>
      <c r="T36" s="22" t="s">
        <v>99</v>
      </c>
      <c r="U36" s="30" t="s">
        <v>100</v>
      </c>
      <c r="V36" s="30" t="s">
        <v>120</v>
      </c>
      <c r="W36" s="5" t="s">
        <v>103</v>
      </c>
      <c r="X36" s="5"/>
      <c r="Y36" s="5"/>
      <c r="Z36" s="30"/>
      <c r="AA36" s="30"/>
      <c r="AB36" s="30"/>
      <c r="AC36" s="5"/>
      <c r="AD36" s="5" t="s">
        <v>103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30" t="s">
        <v>131</v>
      </c>
      <c r="AP36" s="5"/>
    </row>
    <row r="37" spans="1:42" ht="14.25" customHeight="1" x14ac:dyDescent="0.35">
      <c r="A37" s="29">
        <v>2011.8946000000001</v>
      </c>
      <c r="B37" s="29" t="s">
        <v>196</v>
      </c>
      <c r="C37" s="21">
        <v>2011</v>
      </c>
      <c r="D37" s="65" t="s">
        <v>90</v>
      </c>
      <c r="E37" s="5"/>
      <c r="F37" s="5" t="b">
        <v>1</v>
      </c>
      <c r="G37" s="5"/>
      <c r="H37" s="5">
        <v>1</v>
      </c>
      <c r="I37" s="29" t="str">
        <f t="shared" ref="I37:I54" si="2">IF(ISNUMBER(H37),CONCATENATE(A37, ".",H37))</f>
        <v>2011.8946.1</v>
      </c>
      <c r="J37" s="5" t="s">
        <v>91</v>
      </c>
      <c r="K37" s="30" t="s">
        <v>112</v>
      </c>
      <c r="L37" s="30" t="s">
        <v>93</v>
      </c>
      <c r="M37" s="30" t="s">
        <v>115</v>
      </c>
      <c r="N37" s="30"/>
      <c r="O37" s="30"/>
      <c r="P37" s="5" t="s">
        <v>96</v>
      </c>
      <c r="Q37" s="30" t="s">
        <v>119</v>
      </c>
      <c r="R37" s="30"/>
      <c r="S37" s="22"/>
      <c r="T37" s="22"/>
      <c r="U37" s="30" t="s">
        <v>100</v>
      </c>
      <c r="V37" s="30" t="s">
        <v>120</v>
      </c>
      <c r="W37" s="5" t="s">
        <v>103</v>
      </c>
      <c r="X37" s="5"/>
      <c r="Y37" s="5"/>
      <c r="Z37" s="30"/>
      <c r="AA37" s="30"/>
      <c r="AB37" s="30"/>
      <c r="AC37" s="5"/>
      <c r="AD37" s="5" t="s">
        <v>103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30" t="s">
        <v>131</v>
      </c>
      <c r="AP37" s="5"/>
    </row>
    <row r="38" spans="1:42" ht="14.25" customHeight="1" x14ac:dyDescent="0.35">
      <c r="A38" s="29">
        <v>2019.4838999999999</v>
      </c>
      <c r="B38" s="29" t="s">
        <v>197</v>
      </c>
      <c r="C38" s="21">
        <v>2019</v>
      </c>
      <c r="D38" s="65" t="s">
        <v>90</v>
      </c>
      <c r="E38" s="5"/>
      <c r="F38" s="5" t="b">
        <v>1</v>
      </c>
      <c r="G38" s="5"/>
      <c r="H38" s="5">
        <v>1</v>
      </c>
      <c r="I38" s="29" t="str">
        <f t="shared" si="2"/>
        <v>2019.4839.1</v>
      </c>
      <c r="J38" s="5" t="s">
        <v>91</v>
      </c>
      <c r="K38" s="30" t="s">
        <v>118</v>
      </c>
      <c r="L38" s="30" t="s">
        <v>127</v>
      </c>
      <c r="M38" s="30" t="s">
        <v>134</v>
      </c>
      <c r="N38" s="30"/>
      <c r="O38" s="30"/>
      <c r="P38" s="5" t="s">
        <v>107</v>
      </c>
      <c r="Q38" s="30"/>
      <c r="R38" s="30"/>
      <c r="S38" s="23"/>
      <c r="T38" s="23" t="s">
        <v>99</v>
      </c>
      <c r="U38" s="30"/>
      <c r="V38" s="30"/>
      <c r="W38" s="5"/>
      <c r="X38" s="5"/>
      <c r="Y38" s="5"/>
      <c r="Z38" s="30"/>
      <c r="AA38" s="30" t="s">
        <v>93</v>
      </c>
      <c r="AB38" s="30"/>
      <c r="AC38" s="5" t="s">
        <v>103</v>
      </c>
      <c r="AD38" s="5"/>
      <c r="AE38" s="5"/>
      <c r="AF38" s="5"/>
      <c r="AG38" s="5"/>
      <c r="AH38" s="5" t="s">
        <v>103</v>
      </c>
      <c r="AI38" s="5" t="s">
        <v>103</v>
      </c>
      <c r="AJ38" s="5"/>
      <c r="AK38" s="5"/>
      <c r="AL38" s="5"/>
      <c r="AM38" s="5"/>
      <c r="AN38" s="5"/>
      <c r="AO38" s="30" t="s">
        <v>131</v>
      </c>
      <c r="AP38" s="5"/>
    </row>
    <row r="39" spans="1:42" ht="14.25" customHeight="1" x14ac:dyDescent="0.35">
      <c r="A39" s="29">
        <v>2017.3920000000001</v>
      </c>
      <c r="B39" s="29" t="s">
        <v>198</v>
      </c>
      <c r="C39" s="21">
        <v>2017</v>
      </c>
      <c r="D39" s="65" t="s">
        <v>90</v>
      </c>
      <c r="E39" s="5"/>
      <c r="F39" s="5" t="b">
        <v>1</v>
      </c>
      <c r="G39" s="5"/>
      <c r="H39" s="5">
        <v>1</v>
      </c>
      <c r="I39" s="29" t="str">
        <f t="shared" si="2"/>
        <v>2017.392.1</v>
      </c>
      <c r="J39" s="5" t="s">
        <v>91</v>
      </c>
      <c r="K39" s="30" t="s">
        <v>112</v>
      </c>
      <c r="L39" s="30" t="s">
        <v>127</v>
      </c>
      <c r="M39" s="30" t="s">
        <v>134</v>
      </c>
      <c r="N39" s="30"/>
      <c r="O39" s="30"/>
      <c r="P39" s="5" t="s">
        <v>107</v>
      </c>
      <c r="Q39" s="30"/>
      <c r="R39" s="30"/>
      <c r="S39" s="22"/>
      <c r="T39" s="22"/>
      <c r="U39" s="30"/>
      <c r="V39" s="30"/>
      <c r="W39" s="5"/>
      <c r="X39" s="5"/>
      <c r="Y39" s="5"/>
      <c r="Z39" s="30"/>
      <c r="AA39" s="30"/>
      <c r="AB39" s="30"/>
      <c r="AC39" s="5"/>
      <c r="AD39" s="5" t="s">
        <v>103</v>
      </c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 t="s">
        <v>131</v>
      </c>
      <c r="AP39" s="5"/>
    </row>
    <row r="40" spans="1:42" ht="14.25" customHeight="1" x14ac:dyDescent="0.35">
      <c r="A40" s="29">
        <v>2020.2058999999999</v>
      </c>
      <c r="B40" s="29" t="s">
        <v>199</v>
      </c>
      <c r="C40" s="21">
        <v>2020</v>
      </c>
      <c r="D40" s="65" t="s">
        <v>90</v>
      </c>
      <c r="E40" s="5"/>
      <c r="F40" s="5" t="b">
        <v>1</v>
      </c>
      <c r="G40" s="5"/>
      <c r="H40" s="5">
        <v>1</v>
      </c>
      <c r="I40" s="29" t="str">
        <f t="shared" si="2"/>
        <v>2020.2059.1</v>
      </c>
      <c r="J40" s="5" t="s">
        <v>91</v>
      </c>
      <c r="K40" s="30" t="s">
        <v>133</v>
      </c>
      <c r="L40" s="30" t="s">
        <v>93</v>
      </c>
      <c r="M40" s="30" t="s">
        <v>115</v>
      </c>
      <c r="N40" s="30"/>
      <c r="O40" s="30"/>
      <c r="P40" s="5" t="s">
        <v>96</v>
      </c>
      <c r="Q40" s="30" t="s">
        <v>128</v>
      </c>
      <c r="R40" s="30"/>
      <c r="S40" s="23"/>
      <c r="T40" s="23" t="s">
        <v>180</v>
      </c>
      <c r="U40" s="30" t="s">
        <v>100</v>
      </c>
      <c r="V40" s="30" t="s">
        <v>120</v>
      </c>
      <c r="W40" s="5" t="s">
        <v>103</v>
      </c>
      <c r="X40" s="5"/>
      <c r="Y40" s="5" t="s">
        <v>103</v>
      </c>
      <c r="Z40" s="30"/>
      <c r="AA40" s="30"/>
      <c r="AB40" s="30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 t="s">
        <v>174</v>
      </c>
      <c r="AP40" s="5"/>
    </row>
    <row r="41" spans="1:42" ht="14.25" customHeight="1" x14ac:dyDescent="0.35">
      <c r="A41" s="29">
        <v>2020.423</v>
      </c>
      <c r="B41" s="29" t="s">
        <v>200</v>
      </c>
      <c r="C41" s="21">
        <v>2020</v>
      </c>
      <c r="D41" s="65" t="s">
        <v>90</v>
      </c>
      <c r="E41" s="5"/>
      <c r="F41" s="5" t="b">
        <v>1</v>
      </c>
      <c r="G41" s="5"/>
      <c r="H41" s="5">
        <v>1</v>
      </c>
      <c r="I41" s="29" t="str">
        <f t="shared" si="2"/>
        <v>2020.423.1</v>
      </c>
      <c r="J41" s="5" t="s">
        <v>91</v>
      </c>
      <c r="K41" s="30" t="s">
        <v>118</v>
      </c>
      <c r="L41" s="30" t="s">
        <v>127</v>
      </c>
      <c r="M41" s="30" t="s">
        <v>134</v>
      </c>
      <c r="N41" s="30"/>
      <c r="O41" s="30"/>
      <c r="P41" s="5" t="s">
        <v>107</v>
      </c>
      <c r="Q41" s="30"/>
      <c r="R41" s="30"/>
      <c r="S41" s="22"/>
      <c r="T41" s="22"/>
      <c r="U41" s="30" t="s">
        <v>100</v>
      </c>
      <c r="V41" s="30" t="s">
        <v>125</v>
      </c>
      <c r="W41" s="5" t="s">
        <v>103</v>
      </c>
      <c r="X41" s="5"/>
      <c r="Y41" s="5"/>
      <c r="Z41" s="30" t="s">
        <v>141</v>
      </c>
      <c r="AA41" s="30" t="s">
        <v>127</v>
      </c>
      <c r="AB41" s="30"/>
      <c r="AC41" s="5" t="s">
        <v>103</v>
      </c>
      <c r="AD41" s="5" t="s">
        <v>103</v>
      </c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30" t="s">
        <v>140</v>
      </c>
      <c r="AP41" s="5"/>
    </row>
    <row r="42" spans="1:42" ht="14.25" customHeight="1" x14ac:dyDescent="0.35">
      <c r="A42" s="29">
        <v>2022.5256999999999</v>
      </c>
      <c r="B42" s="29" t="s">
        <v>201</v>
      </c>
      <c r="C42" s="21">
        <v>2022</v>
      </c>
      <c r="D42" s="65" t="s">
        <v>90</v>
      </c>
      <c r="E42" s="5"/>
      <c r="F42" s="5" t="b">
        <v>1</v>
      </c>
      <c r="G42" s="5"/>
      <c r="H42" s="5">
        <v>1</v>
      </c>
      <c r="I42" s="29" t="str">
        <f t="shared" si="2"/>
        <v>2022.5257.1</v>
      </c>
      <c r="J42" s="5" t="s">
        <v>91</v>
      </c>
      <c r="K42" s="30" t="s">
        <v>105</v>
      </c>
      <c r="L42" s="30" t="s">
        <v>127</v>
      </c>
      <c r="M42" s="30" t="s">
        <v>94</v>
      </c>
      <c r="N42" s="30"/>
      <c r="O42" s="30"/>
      <c r="P42" s="5" t="s">
        <v>96</v>
      </c>
      <c r="Q42" s="30" t="s">
        <v>138</v>
      </c>
      <c r="R42" s="30"/>
      <c r="S42" s="23" t="s">
        <v>98</v>
      </c>
      <c r="T42" s="23" t="s">
        <v>99</v>
      </c>
      <c r="U42" s="30" t="s">
        <v>100</v>
      </c>
      <c r="V42" s="30"/>
      <c r="W42" s="5"/>
      <c r="X42" s="5"/>
      <c r="Y42" s="5"/>
      <c r="Z42" s="30"/>
      <c r="AA42" s="30" t="s">
        <v>93</v>
      </c>
      <c r="AB42" s="30"/>
      <c r="AC42" s="5" t="s">
        <v>103</v>
      </c>
      <c r="AD42" s="5"/>
      <c r="AE42" s="5"/>
      <c r="AF42" s="5"/>
      <c r="AG42" s="5" t="s">
        <v>103</v>
      </c>
      <c r="AH42" s="5"/>
      <c r="AI42" s="5"/>
      <c r="AJ42" s="5"/>
      <c r="AK42" s="5"/>
      <c r="AL42" s="5"/>
      <c r="AM42" s="5"/>
      <c r="AN42" s="5"/>
      <c r="AO42" s="30" t="s">
        <v>181</v>
      </c>
      <c r="AP42" s="5"/>
    </row>
    <row r="43" spans="1:42" ht="14.25" customHeight="1" x14ac:dyDescent="0.35">
      <c r="A43" s="29">
        <v>1985.2159999999999</v>
      </c>
      <c r="B43" s="29" t="s">
        <v>202</v>
      </c>
      <c r="C43" s="21">
        <v>1985</v>
      </c>
      <c r="D43" s="65" t="s">
        <v>90</v>
      </c>
      <c r="E43" s="5"/>
      <c r="F43" s="5" t="b">
        <v>1</v>
      </c>
      <c r="G43" s="5"/>
      <c r="H43" s="5">
        <v>1</v>
      </c>
      <c r="I43" s="29" t="str">
        <f t="shared" si="2"/>
        <v>1985.216.1</v>
      </c>
      <c r="J43" s="5" t="s">
        <v>91</v>
      </c>
      <c r="K43" s="30" t="s">
        <v>112</v>
      </c>
      <c r="L43" s="30" t="s">
        <v>184</v>
      </c>
      <c r="M43" s="30" t="s">
        <v>182</v>
      </c>
      <c r="N43" s="30"/>
      <c r="O43" s="30"/>
      <c r="P43" s="5" t="s">
        <v>96</v>
      </c>
      <c r="Q43" s="30" t="s">
        <v>130</v>
      </c>
      <c r="R43" s="30" t="s">
        <v>108</v>
      </c>
      <c r="S43" s="22"/>
      <c r="T43" s="22" t="s">
        <v>183</v>
      </c>
      <c r="U43" s="30"/>
      <c r="V43" s="30" t="s">
        <v>108</v>
      </c>
      <c r="W43" s="5"/>
      <c r="X43" s="5"/>
      <c r="Y43" s="5"/>
      <c r="Z43" s="30"/>
      <c r="AA43" s="30"/>
      <c r="AB43" s="30"/>
      <c r="AC43" s="5"/>
      <c r="AD43" s="5" t="s">
        <v>103</v>
      </c>
      <c r="AE43" s="5"/>
      <c r="AF43" s="5"/>
      <c r="AG43" s="5"/>
      <c r="AH43" s="5"/>
      <c r="AI43" s="5"/>
      <c r="AJ43" s="5"/>
      <c r="AK43" s="5"/>
      <c r="AL43" s="5"/>
      <c r="AM43" s="5" t="s">
        <v>103</v>
      </c>
      <c r="AN43" s="5"/>
      <c r="AO43" s="30" t="s">
        <v>140</v>
      </c>
      <c r="AP43" s="5"/>
    </row>
    <row r="44" spans="1:42" ht="14.25" customHeight="1" x14ac:dyDescent="0.35">
      <c r="A44" s="29">
        <v>1985.2159999999999</v>
      </c>
      <c r="B44" s="29" t="s">
        <v>202</v>
      </c>
      <c r="C44" s="21">
        <v>1985</v>
      </c>
      <c r="D44" s="65" t="s">
        <v>90</v>
      </c>
      <c r="E44" s="5"/>
      <c r="F44" s="5" t="b">
        <v>1</v>
      </c>
      <c r="G44" s="5"/>
      <c r="H44" s="5">
        <v>1</v>
      </c>
      <c r="I44" s="29" t="str">
        <f t="shared" ref="I44" si="3">IF(ISNUMBER(H44),CONCATENATE(A44, ".",H44))</f>
        <v>1985.216.1</v>
      </c>
      <c r="J44" s="5" t="s">
        <v>169</v>
      </c>
      <c r="K44" s="30" t="s">
        <v>112</v>
      </c>
      <c r="L44" s="30"/>
      <c r="M44" s="30"/>
      <c r="N44" s="30"/>
      <c r="O44" s="30"/>
      <c r="P44" s="5" t="s">
        <v>96</v>
      </c>
      <c r="Q44" s="30" t="s">
        <v>130</v>
      </c>
      <c r="R44" s="30" t="s">
        <v>108</v>
      </c>
      <c r="S44" s="22"/>
      <c r="T44" s="22" t="s">
        <v>183</v>
      </c>
      <c r="U44" s="30"/>
      <c r="V44" s="30" t="s">
        <v>108</v>
      </c>
      <c r="W44" s="5"/>
      <c r="X44" s="5"/>
      <c r="Y44" s="5"/>
      <c r="Z44" s="30"/>
      <c r="AA44" s="30"/>
      <c r="AB44" s="30"/>
      <c r="AC44" s="5"/>
      <c r="AD44" s="5" t="s">
        <v>103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 t="s">
        <v>140</v>
      </c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2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3"/>
      <c r="T45" s="23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2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3"/>
      <c r="T46" s="23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2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3"/>
      <c r="T47" s="23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2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2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2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2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2"/>
      <c r="T51" s="22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2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3"/>
      <c r="T52" s="23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2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2"/>
      <c r="T53" s="22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2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3"/>
      <c r="T54" s="23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T55" s="5"/>
      <c r="U55" s="5"/>
    </row>
    <row r="56" spans="1:42" ht="14.25" customHeight="1" x14ac:dyDescent="0.35">
      <c r="T56" s="5"/>
      <c r="U56" s="5"/>
    </row>
    <row r="57" spans="1:42" ht="14.25" customHeight="1" x14ac:dyDescent="0.35">
      <c r="T57" s="5"/>
      <c r="U57" s="5"/>
    </row>
    <row r="58" spans="1:42" ht="14.25" customHeight="1" x14ac:dyDescent="0.35">
      <c r="T58" s="5"/>
      <c r="U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4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4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4">
      <formula1>"Primary,Secondary - evidence synthesis,Secondary - other,Unclear"</formula1>
    </dataValidation>
    <dataValidation type="list" allowBlank="1" showErrorMessage="1" sqref="Q6:Q54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4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4">
      <formula1>"Forecast,Modern (1900-2023),Pre-industrial (1850 -1900), Before pre-ind (&lt;1850),Unclear,NA"</formula1>
    </dataValidation>
    <dataValidation type="list" allowBlank="1" showErrorMessage="1" sqref="AK6:AK54">
      <formula1>"TRUE,FALSE"</formula1>
    </dataValidation>
    <dataValidation type="list" allowBlank="1" showErrorMessage="1" sqref="X6:X54">
      <formula1>"Human,Natural,Both,NA"</formula1>
    </dataValidation>
    <dataValidation type="list" allowBlank="1" showErrorMessage="1" sqref="R6:R54">
      <formula1>"Pacific,Atlantic,Indian,Southern,Arctic,Mediterranean or Black Sea,Global,Unclear,NA"</formula1>
    </dataValidation>
    <dataValidation type="list" allowBlank="1" showErrorMessage="1" sqref="S6:S54">
      <formula1>"Salt marsh,Mangrove,Wetland - other,Oyster reef,Coral reef,Macroalgae,Seagrass,Blue carbon - other,Other,NA"</formula1>
    </dataValidation>
    <dataValidation type="list" allowBlank="1" showErrorMessage="1" sqref="V6:V54">
      <formula1>"Micro,Small,Local,Regional,Large,Global,Unclear,NA"</formula1>
    </dataValidation>
    <dataValidation type="list" allowBlank="1" showInputMessage="1" showErrorMessage="1" sqref="N6:N54">
      <formula1>"Inorganic,Organic,Deep sediments, Unclear,NA"</formula1>
    </dataValidation>
    <dataValidation type="list" allowBlank="1" showInputMessage="1" showErrorMessage="1" sqref="W6:W54 AC6:AJ54 F6:F54 Y6:Y54 AL6:AN54">
      <formula1>"TRUE,FALSE"</formula1>
    </dataValidation>
    <dataValidation type="list" allowBlank="1" showErrorMessage="1" sqref="T6:T54">
      <formula1>"Estuary,Land (coastal),Coastal ocean,Oceanic: open-ocean (&lt;=200 m),Oceanic: deep-ocean (&gt; 200 m),Unclear,NA"</formula1>
    </dataValidation>
    <dataValidation type="list" allowBlank="1" showInputMessage="1" showErrorMessage="1" sqref="M6:M54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4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4">
      <formula1>"Regulating,Material,Non-material,NA"</formula1>
    </dataValidation>
    <dataValidation type="list" allowBlank="1" showInputMessage="1" showErrorMessage="1" sqref="L6:L54 AA6:AA54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4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2023-04-28T09:00:31Z</dcterms:modified>
  <cp:category/>
  <cp:contentStatus/>
</cp:coreProperties>
</file>