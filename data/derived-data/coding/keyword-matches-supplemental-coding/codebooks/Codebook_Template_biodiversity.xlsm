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R-working-folder\OBS_systematic_map\data\derived-data\coding\keyword-matches-supplemental-coding\codebooks\"/>
    </mc:Choice>
  </mc:AlternateContent>
  <bookViews>
    <workbookView xWindow="-110" yWindow="-110" windowWidth="19420" windowHeight="11020" firstSheet="1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Codebook!$A$3:$AR$846</definedName>
  </definedNames>
  <calcPr calcId="162913"/>
  <customWorkbookViews>
    <customWorkbookView name="By Article_ID" guid="{435B08D9-6543-426A-B980-BC70B1B1999E}" maximized="1" windowWidth="0" windowHeight="0" activeSheetId="0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2" l="1"/>
  <c r="I15" i="2" l="1"/>
  <c r="I12" i="2"/>
  <c r="I10" i="2"/>
  <c r="I49" i="2" l="1"/>
  <c r="I50" i="2"/>
  <c r="I51" i="2"/>
  <c r="I52" i="2"/>
  <c r="I53" i="2"/>
  <c r="I54" i="2"/>
  <c r="I6" i="2"/>
  <c r="I7" i="2"/>
  <c r="I8" i="2"/>
  <c r="I9" i="2"/>
  <c r="I11" i="2"/>
  <c r="I13" i="2"/>
  <c r="I14" i="2"/>
  <c r="I16" i="2"/>
  <c r="I17" i="2"/>
  <c r="I18" i="2"/>
  <c r="I19" i="2"/>
  <c r="I20" i="2"/>
  <c r="I21" i="2"/>
  <c r="I22" i="2"/>
  <c r="I23" i="2"/>
  <c r="I24" i="2"/>
  <c r="I25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55" i="2"/>
  <c r="I56" i="2"/>
  <c r="I57" i="2"/>
  <c r="I58" i="2"/>
</calcChain>
</file>

<file path=xl/sharedStrings.xml><?xml version="1.0" encoding="utf-8"?>
<sst xmlns="http://schemas.openxmlformats.org/spreadsheetml/2006/main" count="543" uniqueCount="187">
  <si>
    <t>README</t>
  </si>
  <si>
    <t>Please see the Codebook_instructions document for descriptions of the variables and allowed values in the codebook</t>
  </si>
  <si>
    <t>Study information &amp; data identification</t>
  </si>
  <si>
    <t>Intervention</t>
  </si>
  <si>
    <t>Methods</t>
  </si>
  <si>
    <t>Outcomes types from study:</t>
  </si>
  <si>
    <t>Additional Information (for other papers)</t>
  </si>
  <si>
    <t>Other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</si>
  <si>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</si>
  <si>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</si>
  <si>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</si>
  <si>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</si>
  <si>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</si>
  <si>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</si>
  <si>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IF ORO_type involves mitigation (ie. M.x or N.x)</t>
  </si>
  <si>
    <t>If ORO_type is N.x or SA.x</t>
  </si>
  <si>
    <t>Study information</t>
  </si>
  <si>
    <t>IF data are primary</t>
  </si>
  <si>
    <t>Effectiveness achieving primary reason for development / implementation</t>
  </si>
  <si>
    <t>Impacts (co-benefits/disbenefits)</t>
  </si>
  <si>
    <t>Effectiveness Dimensions</t>
  </si>
  <si>
    <t>Additional Information</t>
  </si>
  <si>
    <t>Bibliographic Information</t>
  </si>
  <si>
    <t>Coding_notes</t>
  </si>
  <si>
    <t>Sysrev_ID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</si>
  <si>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</si>
  <si>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</si>
  <si>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</si>
  <si>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</si>
  <si>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</si>
  <si>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</si>
  <si>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</si>
  <si>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</si>
  <si>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</si>
  <si>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</si>
  <si>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Economic_sector_involved</t>
  </si>
  <si>
    <t>M.CO2_removal</t>
  </si>
  <si>
    <t>M.CO2_ocean_storage</t>
  </si>
  <si>
    <t>Climate_threat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</si>
  <si>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</si>
  <si>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</si>
  <si>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</si>
  <si>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</si>
  <si>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</si>
  <si>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</si>
  <si>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</si>
  <si>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</si>
  <si>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</si>
  <si>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Impact_nature</t>
  </si>
  <si>
    <t>Impact_NCP</t>
  </si>
  <si>
    <t>Impact_economy</t>
  </si>
  <si>
    <t>Impact_ORO</t>
  </si>
  <si>
    <t>Techological_scalability</t>
  </si>
  <si>
    <t>Technological_readiness</t>
  </si>
  <si>
    <t>Lead_time</t>
  </si>
  <si>
    <t>Duration</t>
  </si>
  <si>
    <t>Robustness</t>
  </si>
  <si>
    <t>Cost</t>
  </si>
  <si>
    <t>Enabling_factors</t>
  </si>
  <si>
    <t>Governability</t>
  </si>
  <si>
    <t>Biodiversity_metric</t>
  </si>
  <si>
    <t>Restoration</t>
  </si>
  <si>
    <t>Safe_fish</t>
  </si>
  <si>
    <t>Safe_space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</si>
  <si>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</si>
  <si>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</si>
  <si>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</si>
  <si>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</si>
  <si>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</si>
  <si>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</si>
  <si>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</si>
  <si>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</si>
  <si>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</si>
  <si>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Design - observe/concept/preliminary testing/side effects,Evaluating future placement/upscaling potential,Pilot demo,Implemented (+continued assessment),Unclear,NA</t>
  </si>
  <si>
    <t>Select Multiple: Fisheries,Aquaculture,Pharmaceuticals,Shipping,Port infrastructure,Tourism &amp; Recreation,Coastal development,Seabed mining/oil &amp; gas,Renewable energy,Informal,Livelihood,Other,NA</t>
  </si>
  <si>
    <t>Select Multiple: Bioenergy,Open-ocean PP,Macroalgae (kelp) cultivation,Microalgae cultivation,Weathering and alkinalization,Coastal blue carbon ecosystems,Other,NA</t>
  </si>
  <si>
    <t>Select Muliple: Inorganic,Organic,Deep sediments, Unclear,NA</t>
  </si>
  <si>
    <t>Select Multiple: Temperature, Marine heatwave, Sea ice changes, Acidification, SLR, Deoxygenation, Extreme weather, Natural impacts, Human impacts, General CC, Other, Unclear, NA</t>
  </si>
  <si>
    <t>Select One: Primary,Secondary - evidence synthesis,Secondary - other, Unclear</t>
  </si>
  <si>
    <t>Select Multiple: Experimental ex-situ,Experimental in-situ,Expert opinion,Method or technology development,Observational,Mathematical prediction/simulation,Social primary,Other,Unclear,NA</t>
  </si>
  <si>
    <t>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</si>
  <si>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</si>
  <si>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Estuary,Land (coastal),Coastal ocean,Oceanic: open-ocean (&lt;=200 m),Oceanic: deep-ocean (&gt; 200 m),Unclear,NA</t>
  </si>
  <si>
    <t>Select Multiple: Forecast (&gt; 2023), Modern (1900-2023), Pre-industrial (1850 -1900),  Before pre-ind (&lt;1850)</t>
  </si>
  <si>
    <t>Select Multiple: Micro,Small,Local,Regional,Large,Global,Unclear,NA</t>
  </si>
  <si>
    <t>Select One: Human, Natural, Both, NA</t>
  </si>
  <si>
    <t>Select Multiple: Regulating,Material,Non-material,NA</t>
  </si>
  <si>
    <t>Select Multiple: M. Renewables,M. Increase efficiency,M. CO2 removal or storage,N. Human assisted evolution,N. Protection,N. Restoration,SA. Built infrastructure and technology,SA. Socio-institutional,Unclear,NA</t>
  </si>
  <si>
    <t>Boolean: TRUE,FALSE</t>
  </si>
  <si>
    <t>Select Multiple: Chemistry, Biogeochemistry, Biology, Economics, Engineering, Ecology, Fisheries, Physical science, Political science, Science &amp; tech - other, Social science - other, Other, Unclear</t>
  </si>
  <si>
    <t>Devi</t>
  </si>
  <si>
    <t>N. Protection</t>
  </si>
  <si>
    <t>Implemented (+continued assessment)</t>
  </si>
  <si>
    <t>Temperature</t>
  </si>
  <si>
    <t>Temperature | Acidification</t>
  </si>
  <si>
    <t>Secondary - evidence synthesis</t>
  </si>
  <si>
    <t>Global</t>
  </si>
  <si>
    <t>Coral reef</t>
  </si>
  <si>
    <t>Coastal ocean</t>
  </si>
  <si>
    <t>Natural</t>
  </si>
  <si>
    <t>Ecology</t>
  </si>
  <si>
    <t>Design - observe/concept/preliminary testing/side effects</t>
  </si>
  <si>
    <t>General CC</t>
  </si>
  <si>
    <t>Primary</t>
  </si>
  <si>
    <t>Method or technology development</t>
  </si>
  <si>
    <t>TRUE</t>
  </si>
  <si>
    <t>Pacific</t>
  </si>
  <si>
    <t>Modern (1900-2023)</t>
  </si>
  <si>
    <t>Regional</t>
  </si>
  <si>
    <t>The Genetic Component of Seagrass Restoration: What We Know and the Way Forwards</t>
  </si>
  <si>
    <t>N. Human assisted evolution</t>
  </si>
  <si>
    <t>Seagrass</t>
  </si>
  <si>
    <t>M. Renewables</t>
  </si>
  <si>
    <t>Implemented (+continued assessment) | Design - observe/concept/preliminary testing/side effects</t>
  </si>
  <si>
    <t>Expert opinion</t>
  </si>
  <si>
    <t>SA. Built infrastructure and technology</t>
  </si>
  <si>
    <t>Experimental in-situ</t>
  </si>
  <si>
    <t>Atlantic</t>
  </si>
  <si>
    <t>Oyster reef</t>
  </si>
  <si>
    <t>Estuary</t>
  </si>
  <si>
    <t>Local</t>
  </si>
  <si>
    <t>N. Restoration</t>
  </si>
  <si>
    <t>Mathematical prediction/simulation</t>
  </si>
  <si>
    <t>Forecast</t>
  </si>
  <si>
    <t>M. CO2 removal or storage</t>
  </si>
  <si>
    <t>Coastal blue carbon ecosystems</t>
  </si>
  <si>
    <t>Organic</t>
  </si>
  <si>
    <t>Observational</t>
  </si>
  <si>
    <t>Mediterranean or Black Sea</t>
  </si>
  <si>
    <t>Macroalgae</t>
  </si>
  <si>
    <t>Small</t>
  </si>
  <si>
    <t>Biogeochemistry</t>
  </si>
  <si>
    <t>Renewable energy</t>
  </si>
  <si>
    <t>Fisheries</t>
  </si>
  <si>
    <t>Ecology | Fisheries</t>
  </si>
  <si>
    <t>Ecological states and the resilience of coral reefs</t>
  </si>
  <si>
    <t>Connectivity, biodiversity conservation and the design of marine reserve networks for coral reefs</t>
  </si>
  <si>
    <t>Eco-engineering and management strategies for marine infrastructure to reduce establishment and dispersal of non-indigenous species</t>
  </si>
  <si>
    <t>Restoring oysters to urban estuaries: Redefining habitat quality for eastern oyster performance near New York City</t>
  </si>
  <si>
    <t>Comparing management strategies for conserving communities of climate-threatened species with a stochastic metacommunity model</t>
  </si>
  <si>
    <t>Tropicalization may invert trophic state and carbon budget of shallow temperate rocky reefs</t>
  </si>
  <si>
    <t>Science in support of ecologically sound decommissioning strategies for offshore man-made structures: taking stock of current knowledge and considering future challenges</t>
  </si>
  <si>
    <t>Ecological guidelines for designing networks of marine reserves in the unique biophysical environment of the Gulf of California</t>
  </si>
  <si>
    <t>Indian</t>
  </si>
  <si>
    <t>Mangrove</t>
  </si>
  <si>
    <t>Non-material | Regulating</t>
  </si>
  <si>
    <t>Livelihood</t>
  </si>
  <si>
    <t>Coastal development</t>
  </si>
  <si>
    <t>Defining the Zostera marina (Eelgrass) Niche from Long-Term Success of Restored and Naturally Colonized Meadows: Implications for Seagrass Restoration</t>
  </si>
  <si>
    <t>Protected Areas for Climate Change Mitigation and Livelihood Option: A Case Study of the Bangladesh Sundarbans Mangrove Forest</t>
  </si>
  <si>
    <t>Should Hybrids Be Used in Coral Nurseries? A Case Study Comparing Caribbean Acropora spp. and Their Hybrid in the Bahamas</t>
  </si>
  <si>
    <t>Microhabitat thermal environment controls community structure of macrobenthos on coastal infrastructures</t>
  </si>
  <si>
    <t>Oceanographic and biological influences on recruitment of benthic invertebrates to hard substrata on the Oregon shelf</t>
  </si>
  <si>
    <t>Experimental ex-situ</t>
  </si>
  <si>
    <t>SLR | Extreme weather</t>
  </si>
  <si>
    <t>Salt marsh</t>
  </si>
  <si>
    <t>Acidification | Temperature</t>
  </si>
  <si>
    <t>Effects of Ocean Sprawl on Ecological Connectivity: Impacts and Solutions</t>
  </si>
  <si>
    <t>Estuary | Coastal ocean</t>
  </si>
  <si>
    <t>Tourism &amp; Recreation | Coastal development</t>
  </si>
  <si>
    <t>Other | SLR | Extreme weather</t>
  </si>
  <si>
    <t>Land (coastal)</t>
  </si>
  <si>
    <t>Experimental in-situ | Experimental ex-situ</t>
  </si>
  <si>
    <t>Biology</t>
  </si>
  <si>
    <t>General CC | Temperature</t>
  </si>
  <si>
    <t>Evaluating future placement/upscaling potential</t>
  </si>
  <si>
    <t>Secondary - other</t>
  </si>
  <si>
    <t>Material | Non-material</t>
  </si>
  <si>
    <t>Fisheries | Tourism &amp; Recreation</t>
  </si>
  <si>
    <t>Large</t>
  </si>
  <si>
    <t>Engineering | Ecology</t>
  </si>
  <si>
    <t>Pilot demo</t>
  </si>
  <si>
    <t>Machine Learning for the Fast and Accurate Assessment of Fitness in Coral Early Life History</t>
  </si>
  <si>
    <t>Ecology | Science &amp; tech - other</t>
  </si>
  <si>
    <t>Magnetic fields generated by the DC cables of offshore wind farms have no effect on spatial distribution or swimming behavior of lesser sandeel larvae (Ammodytes marinus)</t>
  </si>
  <si>
    <t>External conditions drive optimal planting configurations for salt marsh restoration</t>
  </si>
  <si>
    <t>Genome-wide analysis of natural and restored eastern oyster populations reveals local adaptation and positive impacts of planting frequency and broodstock number</t>
  </si>
  <si>
    <t>Effects of ocean sprawl on ecological connectivity: impacts and solutions</t>
  </si>
  <si>
    <t>The thermal impacts of beach nourishment across a regionally important loggerhead sea turtle (Caretta caretta) rookery</t>
  </si>
  <si>
    <t>Assisted gene flow using cryopreserved sperm in critically endangered coral</t>
  </si>
  <si>
    <t>Successful cryopreservation of coral larvae using vitrification and laser warming</t>
  </si>
  <si>
    <t>Effects of established offshore wind farms on energy flow of coastal ecosystems: A case study of the Rudong offshore wind farms in China</t>
  </si>
  <si>
    <t>A decade of coral biobanking science in Australia-transitioning into applied reef restoration</t>
  </si>
  <si>
    <t>FROM MICROBES TO PEOPLE: TRACTABLE BENEFITS OF NO-TAKE AREAS FOR CORAL REEFS</t>
  </si>
  <si>
    <t>Assessing the vulnerability of the marine bird community in the western North Sea to climate change and other anthropogenic impacts</t>
  </si>
  <si>
    <t>Reconciling biodiversity conservation and widespread deployment of renewable energy technologies in the UK</t>
  </si>
  <si>
    <t>Coral husbandry for ocean futures: leveraging abiotic factors to increase survivorship, growth, and resilience in juvenile Montipora capitata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</si>
</sst>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  <fill>
      <patternFill patternType="solid">
        <fgColor theme="7" tint="0.79998168889431442"/>
        <bgColor rgb="FFFBE4D5"/>
      </patternFill>
    </fill>
    <fill>
      <patternFill patternType="solid">
        <fgColor theme="4" tint="0.39997558519241921"/>
        <bgColor rgb="FFDEEAF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rgb="FFDEEAF6"/>
      </patternFill>
    </fill>
    <fill>
      <patternFill patternType="solid">
        <fgColor theme="4" tint="0.39997558519241921"/>
        <bgColor rgb="FFFBE4D5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 tint="0.79998168889431442"/>
        <bgColor rgb="FFFEF2CB"/>
      </patternFill>
    </fill>
    <fill>
      <patternFill patternType="solid">
        <fgColor theme="5" tint="0.59999389629810485"/>
        <bgColor rgb="FFDEEAF6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CCFF"/>
        <bgColor rgb="FFFBE4D5"/>
      </patternFill>
    </fill>
    <fill>
      <patternFill patternType="solid">
        <fgColor theme="7" tint="0.79998168889431442"/>
        <bgColor rgb="FFDEEAF6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1" xfId="0" applyFont="1" applyFill="1" applyBorder="1"/>
    <xf numFmtId="0" fontId="3" fillId="3" borderId="0" xfId="0" applyFont="1" applyFill="1" applyAlignment="1">
      <alignment vertical="top"/>
    </xf>
    <xf numFmtId="0" fontId="3" fillId="3" borderId="0" xfId="0" applyFont="1" applyFill="1"/>
    <xf numFmtId="0" fontId="4" fillId="4" borderId="2" xfId="0" applyFont="1" applyFill="1" applyBorder="1"/>
    <xf numFmtId="0" fontId="4" fillId="4" borderId="0" xfId="0" applyFont="1" applyFill="1"/>
    <xf numFmtId="0" fontId="3" fillId="0" borderId="3" xfId="0" applyFont="1" applyBorder="1" applyAlignment="1">
      <alignment wrapText="1"/>
    </xf>
    <xf numFmtId="0" fontId="4" fillId="4" borderId="3" xfId="0" applyFont="1" applyFill="1" applyBorder="1"/>
    <xf numFmtId="0" fontId="0" fillId="0" borderId="3" xfId="0" applyBorder="1"/>
    <xf numFmtId="0" fontId="5" fillId="7" borderId="0" xfId="0" applyFont="1" applyFill="1" applyAlignment="1">
      <alignment horizontal="right"/>
    </xf>
    <xf numFmtId="0" fontId="5" fillId="7" borderId="0" xfId="0" applyFont="1" applyFill="1"/>
    <xf numFmtId="0" fontId="5" fillId="7" borderId="3" xfId="0" applyFont="1" applyFill="1" applyBorder="1"/>
    <xf numFmtId="0" fontId="0" fillId="7" borderId="0" xfId="0" applyFill="1"/>
    <xf numFmtId="0" fontId="0" fillId="7" borderId="3" xfId="0" applyFill="1" applyBorder="1"/>
    <xf numFmtId="0" fontId="3" fillId="7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  <xf numFmtId="0" fontId="3" fillId="8" borderId="0" xfId="0" applyFont="1" applyFill="1"/>
    <xf numFmtId="0" fontId="6" fillId="4" borderId="0" xfId="0" applyFont="1" applyFill="1"/>
    <xf numFmtId="0" fontId="3" fillId="3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6" fillId="4" borderId="2" xfId="0" applyFont="1" applyFill="1" applyBorder="1"/>
    <xf numFmtId="0" fontId="3" fillId="7" borderId="0" xfId="0" applyFont="1" applyFill="1"/>
    <xf numFmtId="0" fontId="3" fillId="0" borderId="4" xfId="0" applyFont="1" applyBorder="1"/>
    <xf numFmtId="0" fontId="3" fillId="9" borderId="0" xfId="0" applyFont="1" applyFill="1"/>
    <xf numFmtId="0" fontId="3" fillId="10" borderId="0" xfId="0" applyFont="1" applyFill="1"/>
    <xf numFmtId="0" fontId="8" fillId="11" borderId="0" xfId="0" applyFont="1" applyFill="1"/>
    <xf numFmtId="0" fontId="7" fillId="11" borderId="0" xfId="0" applyFont="1" applyFill="1"/>
    <xf numFmtId="0" fontId="9" fillId="10" borderId="2" xfId="0" applyFont="1" applyFill="1" applyBorder="1" applyAlignment="1">
      <alignment wrapText="1"/>
    </xf>
    <xf numFmtId="0" fontId="10" fillId="11" borderId="0" xfId="0" applyFont="1" applyFill="1"/>
    <xf numFmtId="0" fontId="9" fillId="12" borderId="2" xfId="0" applyFont="1" applyFill="1" applyBorder="1" applyAlignment="1">
      <alignment wrapText="1"/>
    </xf>
    <xf numFmtId="0" fontId="3" fillId="12" borderId="0" xfId="0" applyFont="1" applyFill="1"/>
    <xf numFmtId="0" fontId="9" fillId="13" borderId="2" xfId="0" applyFont="1" applyFill="1" applyBorder="1" applyAlignment="1">
      <alignment wrapText="1"/>
    </xf>
    <xf numFmtId="0" fontId="9" fillId="13" borderId="0" xfId="0" applyFont="1" applyFill="1"/>
    <xf numFmtId="0" fontId="3" fillId="13" borderId="0" xfId="0" applyFont="1" applyFill="1"/>
    <xf numFmtId="0" fontId="9" fillId="0" borderId="0" xfId="0" applyFont="1" applyAlignment="1">
      <alignment wrapText="1"/>
    </xf>
    <xf numFmtId="0" fontId="3" fillId="14" borderId="2" xfId="0" applyFont="1" applyFill="1" applyBorder="1" applyAlignment="1">
      <alignment wrapText="1"/>
    </xf>
    <xf numFmtId="0" fontId="3" fillId="14" borderId="0" xfId="0" applyFont="1" applyFill="1"/>
    <xf numFmtId="0" fontId="3" fillId="14" borderId="3" xfId="0" applyFont="1" applyFill="1" applyBorder="1"/>
    <xf numFmtId="0" fontId="3" fillId="14" borderId="0" xfId="0" applyFont="1" applyFill="1" applyAlignment="1">
      <alignment wrapText="1"/>
    </xf>
    <xf numFmtId="0" fontId="3" fillId="14" borderId="1" xfId="0" applyFont="1" applyFill="1" applyBorder="1"/>
    <xf numFmtId="0" fontId="0" fillId="15" borderId="0" xfId="0" applyFill="1"/>
    <xf numFmtId="0" fontId="11" fillId="15" borderId="0" xfId="0" applyFont="1" applyFill="1"/>
    <xf numFmtId="0" fontId="11" fillId="16" borderId="0" xfId="0" applyFont="1" applyFill="1"/>
    <xf numFmtId="0" fontId="0" fillId="17" borderId="0" xfId="0" applyFill="1"/>
    <xf numFmtId="0" fontId="11" fillId="17" borderId="0" xfId="0" applyFont="1" applyFill="1"/>
    <xf numFmtId="0" fontId="10" fillId="18" borderId="0" xfId="0" applyFont="1" applyFill="1"/>
    <xf numFmtId="0" fontId="11" fillId="18" borderId="0" xfId="0" applyFont="1" applyFill="1"/>
    <xf numFmtId="0" fontId="3" fillId="19" borderId="2" xfId="0" applyFont="1" applyFill="1" applyBorder="1" applyAlignment="1">
      <alignment wrapText="1"/>
    </xf>
    <xf numFmtId="0" fontId="3" fillId="19" borderId="0" xfId="0" applyFont="1" applyFill="1"/>
    <xf numFmtId="0" fontId="3" fillId="20" borderId="0" xfId="0" applyFont="1" applyFill="1" applyAlignment="1">
      <alignment wrapText="1"/>
    </xf>
    <xf numFmtId="0" fontId="3" fillId="20" borderId="0" xfId="0" applyFont="1" applyFill="1"/>
    <xf numFmtId="0" fontId="3" fillId="21" borderId="2" xfId="0" applyFont="1" applyFill="1" applyBorder="1" applyAlignment="1">
      <alignment wrapText="1"/>
    </xf>
    <xf numFmtId="0" fontId="3" fillId="21" borderId="0" xfId="0" applyFont="1" applyFill="1"/>
    <xf numFmtId="0" fontId="9" fillId="22" borderId="2" xfId="0" applyFont="1" applyFill="1" applyBorder="1" applyAlignment="1">
      <alignment wrapText="1"/>
    </xf>
    <xf numFmtId="0" fontId="3" fillId="22" borderId="0" xfId="0" applyFont="1" applyFill="1"/>
    <xf numFmtId="0" fontId="8" fillId="16" borderId="0" xfId="0" applyFont="1" applyFill="1"/>
    <xf numFmtId="0" fontId="3" fillId="23" borderId="0" xfId="0" applyFont="1" applyFill="1"/>
    <xf numFmtId="0" fontId="9" fillId="0" borderId="0" xfId="0" applyFont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1"/>
      <tableStyleElement type="secondRowStripe" dxfId="40"/>
    </tableStyle>
    <tableStyle name="Yunne Codebook-style" pivot="0" count="2">
      <tableStyleElement type="firstRowStripe" dxfId="39"/>
      <tableStyleElement type="secondRowStripe" dxfId="38"/>
    </tableStyle>
    <tableStyle name="Adrien Codebook-style" pivot="0" count="2">
      <tableStyleElement type="firstRowStripe" dxfId="37"/>
      <tableStyleElement type="secondRowStripe" dxfId="36"/>
    </tableStyle>
    <tableStyle name="Jean-Pierre Codebook-style" pivot="0" count="2">
      <tableStyleElement type="firstRowStripe" dxfId="35"/>
      <tableStyleElement type="secondRowStripe" dxfId="34"/>
    </tableStyle>
    <tableStyle name="Laurent Codebook-style" pivot="0" count="2">
      <tableStyleElement type="firstRowStripe" dxfId="33"/>
      <tableStyleElement type="secondRowStripe" dxfId="32"/>
    </tableStyle>
  </tableStyles>
  <colors>
    <mruColors>
      <color rgb="FFFFCCFF"/>
      <color rgb="FFCC00CC"/>
      <color rgb="FFF7B3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6:AP58" headerRowCount="0">
  <tableColumns count="42">
    <tableColumn id="1" name="Column1" dataDxfId="31"/>
    <tableColumn id="2" name="Column2" dataDxfId="30"/>
    <tableColumn id="5" name="Colonne1" dataDxfId="29"/>
    <tableColumn id="13" name="Column13"/>
    <tableColumn id="14" name="Column14"/>
    <tableColumn id="15" name="Column15"/>
    <tableColumn id="16" name="Column16"/>
    <tableColumn id="17" name="Column17"/>
    <tableColumn id="18" name="Column18" dataDxfId="28">
      <calculatedColumnFormula>IF(ISNUMBER(H6),CONCATENATE(A6, ".",H6))</calculatedColumnFormula>
    </tableColumn>
    <tableColumn id="19" name="Column19"/>
    <tableColumn id="3" name="Colonne2" dataDxfId="27"/>
    <tableColumn id="52" name="Column52" dataDxfId="26"/>
    <tableColumn id="20" name="Column20" dataDxfId="25"/>
    <tableColumn id="21" name="Column21" dataDxfId="24"/>
    <tableColumn id="8" name="Colonne6" dataDxfId="23"/>
    <tableColumn id="22" name="Column22"/>
    <tableColumn id="23" name="Column23" dataDxfId="22"/>
    <tableColumn id="6" name="Colonne4" dataDxfId="21"/>
    <tableColumn id="27" name="Column27" dataDxfId="20"/>
    <tableColumn id="4" name="Colonne3" dataDxfId="19"/>
    <tableColumn id="29" name="Column29" dataDxfId="18"/>
    <tableColumn id="30" name="Column30" dataDxfId="17"/>
    <tableColumn id="33" name="Column33" dataDxfId="16"/>
    <tableColumn id="34" name="Column34"/>
    <tableColumn id="36" name="Column36" dataDxfId="15"/>
    <tableColumn id="37" name="Column37" dataDxfId="14"/>
    <tableColumn id="10" name="Colonne5" dataDxfId="13"/>
    <tableColumn id="38" name="Column38" dataDxfId="12"/>
    <tableColumn id="40" name="Column40" dataDxfId="11"/>
    <tableColumn id="41" name="Column41" dataDxfId="10"/>
    <tableColumn id="42" name="Column42" dataDxfId="9"/>
    <tableColumn id="43" name="Column43" dataDxfId="8"/>
    <tableColumn id="44" name="Column44" dataDxfId="7"/>
    <tableColumn id="45" name="Column45" dataDxfId="6"/>
    <tableColumn id="46" name="Column46" dataDxfId="5"/>
    <tableColumn id="47" name="Column47" dataDxfId="4"/>
    <tableColumn id="48" name="Column48"/>
    <tableColumn id="49" name="Column49" dataDxfId="3"/>
    <tableColumn id="50" name="Column50" dataDxfId="2"/>
    <tableColumn id="51" name="Column51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6"/>
  <sheetViews>
    <sheetView tabSelected="1" zoomScale="120" zoomScaleNormal="120" workbookViewId="0">
      <pane ySplit="5" topLeftCell="A24" activePane="bottomLeft" state="frozen"/>
      <selection pane="bottomLeft" activeCell="B29" sqref="B29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15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0.54296875" customWidth="1"/>
    <col min="11" max="11" width="21.81640625" customWidth="1"/>
    <col min="12" max="12" width="23.26953125" customWidth="1"/>
    <col min="13" max="14" width="15.1796875" customWidth="1"/>
    <col min="15" max="15" width="15.453125" customWidth="1"/>
    <col min="17" max="17" width="10.7265625" customWidth="1"/>
    <col min="18" max="18" width="12.7265625" customWidth="1"/>
    <col min="19" max="22" width="10.7265625" customWidth="1"/>
    <col min="23" max="23" width="20.54296875" customWidth="1"/>
    <col min="24" max="25" width="15.81640625" customWidth="1"/>
    <col min="26" max="26" width="13.453125" customWidth="1"/>
    <col min="27" max="28" width="17.1796875" customWidth="1"/>
    <col min="29" max="29" width="20.81640625" customWidth="1"/>
    <col min="30" max="30" width="22.1796875" customWidth="1"/>
    <col min="31" max="33" width="10.7265625" customWidth="1"/>
    <col min="34" max="34" width="8.1796875" customWidth="1"/>
    <col min="35" max="35" width="14.54296875" customWidth="1"/>
    <col min="36" max="36" width="14.81640625" customWidth="1"/>
    <col min="37" max="37" width="16.81640625" customWidth="1"/>
    <col min="38" max="38" width="12.26953125" customWidth="1"/>
    <col min="39" max="39" width="12.1796875" customWidth="1"/>
    <col min="40" max="40" width="11.54296875" customWidth="1"/>
    <col min="41" max="41" width="15.26953125" customWidth="1"/>
    <col min="43" max="44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15" customHeight="1" x14ac:dyDescent="0.35">
      <c r="A2" s="49" t="s">
        <v>2</v>
      </c>
      <c r="B2" s="49"/>
      <c r="C2" s="49"/>
      <c r="D2" s="49"/>
      <c r="E2" s="49"/>
      <c r="F2" s="49"/>
      <c r="G2" s="49"/>
      <c r="H2" s="49"/>
      <c r="I2" s="49"/>
      <c r="J2" s="50" t="s">
        <v>3</v>
      </c>
      <c r="K2" s="50"/>
      <c r="L2" s="50"/>
      <c r="M2" s="50"/>
      <c r="N2" s="50"/>
      <c r="O2" s="63"/>
      <c r="P2" s="52" t="s">
        <v>4</v>
      </c>
      <c r="Q2" s="51"/>
      <c r="R2" s="51"/>
      <c r="S2" s="51"/>
      <c r="T2" s="51"/>
      <c r="U2" s="51"/>
      <c r="V2" s="51"/>
      <c r="W2" s="34" t="s">
        <v>5</v>
      </c>
      <c r="X2" s="33"/>
      <c r="Y2" s="33"/>
      <c r="Z2" s="33"/>
      <c r="AA2" s="33"/>
      <c r="AB2" s="33"/>
      <c r="AC2" s="36"/>
      <c r="AD2" s="36"/>
      <c r="AE2" s="36"/>
      <c r="AF2" s="36"/>
      <c r="AG2" s="36"/>
      <c r="AH2" s="36"/>
      <c r="AI2" s="36"/>
      <c r="AJ2" s="36"/>
      <c r="AK2" s="54" t="s">
        <v>6</v>
      </c>
      <c r="AL2" s="53"/>
      <c r="AM2" s="53"/>
      <c r="AN2" s="53"/>
      <c r="AO2" s="49" t="s">
        <v>7</v>
      </c>
      <c r="AP2" s="48"/>
    </row>
    <row r="3" spans="1:42" ht="58.5" customHeight="1" thickBot="1" x14ac:dyDescent="0.4">
      <c r="A3" s="43" t="s">
        <v>8</v>
      </c>
      <c r="B3" s="3"/>
      <c r="C3" s="13"/>
      <c r="D3" s="59" t="s">
        <v>9</v>
      </c>
      <c r="E3" s="3"/>
      <c r="F3" s="3"/>
      <c r="G3" s="3" t="s">
        <v>10</v>
      </c>
      <c r="H3" s="46" t="s">
        <v>11</v>
      </c>
      <c r="I3" s="4"/>
      <c r="J3" s="26" t="s">
        <v>12</v>
      </c>
      <c r="K3" s="3" t="s">
        <v>13</v>
      </c>
      <c r="L3" s="3"/>
      <c r="M3" s="3" t="s">
        <v>14</v>
      </c>
      <c r="N3" s="3" t="s">
        <v>14</v>
      </c>
      <c r="O3" s="3" t="s">
        <v>15</v>
      </c>
      <c r="P3" s="27" t="s">
        <v>16</v>
      </c>
      <c r="Q3" s="3" t="s">
        <v>17</v>
      </c>
      <c r="R3" s="3"/>
      <c r="S3" s="5"/>
      <c r="T3" s="5"/>
      <c r="U3" s="3" t="s">
        <v>17</v>
      </c>
      <c r="V3" s="3" t="s">
        <v>17</v>
      </c>
      <c r="W3" s="35" t="s">
        <v>18</v>
      </c>
      <c r="X3" s="3"/>
      <c r="Y3" s="37" t="s">
        <v>19</v>
      </c>
      <c r="AA3" s="6"/>
      <c r="AB3" s="6"/>
      <c r="AC3" s="39" t="s">
        <v>20</v>
      </c>
      <c r="AD3" s="3"/>
      <c r="AE3" s="42"/>
      <c r="AF3" s="3"/>
      <c r="AI3" s="3"/>
      <c r="AJ3" s="3"/>
      <c r="AK3" s="61" t="s">
        <v>21</v>
      </c>
      <c r="AL3" s="3"/>
      <c r="AM3" s="3"/>
      <c r="AN3" s="3"/>
      <c r="AO3" s="55" t="s">
        <v>22</v>
      </c>
      <c r="AP3" s="57" t="s">
        <v>23</v>
      </c>
    </row>
    <row r="4" spans="1:42" ht="14.25" customHeight="1" thickBot="1" x14ac:dyDescent="0.4">
      <c r="A4" s="44" t="s">
        <v>24</v>
      </c>
      <c r="B4" s="44" t="s">
        <v>25</v>
      </c>
      <c r="C4" s="45" t="s">
        <v>26</v>
      </c>
      <c r="D4" s="60" t="s">
        <v>27</v>
      </c>
      <c r="E4" s="60" t="s">
        <v>28</v>
      </c>
      <c r="F4" s="60" t="s">
        <v>29</v>
      </c>
      <c r="G4" s="60" t="s">
        <v>30</v>
      </c>
      <c r="H4" s="47" t="s">
        <v>31</v>
      </c>
      <c r="I4" s="44" t="s">
        <v>32</v>
      </c>
      <c r="J4" s="8" t="s">
        <v>33</v>
      </c>
      <c r="K4" s="24" t="s">
        <v>34</v>
      </c>
      <c r="L4" s="31" t="s">
        <v>35</v>
      </c>
      <c r="M4" s="9" t="s">
        <v>36</v>
      </c>
      <c r="N4" s="10" t="s">
        <v>37</v>
      </c>
      <c r="O4" s="64" t="s">
        <v>38</v>
      </c>
      <c r="P4" s="7" t="s">
        <v>39</v>
      </c>
      <c r="Q4" s="7" t="s">
        <v>40</v>
      </c>
      <c r="R4" s="7" t="s">
        <v>41</v>
      </c>
      <c r="S4" s="7" t="s">
        <v>42</v>
      </c>
      <c r="T4" s="7" t="s">
        <v>43</v>
      </c>
      <c r="U4" s="7" t="s">
        <v>44</v>
      </c>
      <c r="V4" s="7" t="s">
        <v>45</v>
      </c>
      <c r="W4" s="32" t="s">
        <v>46</v>
      </c>
      <c r="X4" s="32" t="s">
        <v>47</v>
      </c>
      <c r="Y4" s="38" t="s">
        <v>48</v>
      </c>
      <c r="Z4" s="38" t="s">
        <v>49</v>
      </c>
      <c r="AA4" s="38" t="s">
        <v>50</v>
      </c>
      <c r="AB4" s="38" t="s">
        <v>51</v>
      </c>
      <c r="AC4" s="40" t="s">
        <v>52</v>
      </c>
      <c r="AD4" s="40" t="s">
        <v>53</v>
      </c>
      <c r="AE4" s="41" t="s">
        <v>54</v>
      </c>
      <c r="AF4" s="41" t="s">
        <v>55</v>
      </c>
      <c r="AG4" s="41" t="s">
        <v>56</v>
      </c>
      <c r="AH4" s="41" t="s">
        <v>57</v>
      </c>
      <c r="AI4" s="41" t="s">
        <v>58</v>
      </c>
      <c r="AJ4" s="41" t="s">
        <v>59</v>
      </c>
      <c r="AK4" s="62" t="s">
        <v>60</v>
      </c>
      <c r="AL4" s="62" t="s">
        <v>61</v>
      </c>
      <c r="AM4" s="62" t="s">
        <v>62</v>
      </c>
      <c r="AN4" s="62" t="s">
        <v>63</v>
      </c>
      <c r="AO4" s="56" t="s">
        <v>64</v>
      </c>
      <c r="AP4" s="58" t="s">
        <v>65</v>
      </c>
    </row>
    <row r="5" spans="1:42" ht="14.25" customHeight="1" x14ac:dyDescent="0.35">
      <c r="A5" s="11" t="s">
        <v>66</v>
      </c>
      <c r="B5" s="11" t="s">
        <v>66</v>
      </c>
      <c r="C5" s="14" t="s">
        <v>67</v>
      </c>
      <c r="D5" s="11" t="s">
        <v>68</v>
      </c>
      <c r="E5" s="11" t="s">
        <v>68</v>
      </c>
      <c r="F5" s="11" t="s">
        <v>69</v>
      </c>
      <c r="G5" s="11" t="s">
        <v>68</v>
      </c>
      <c r="H5" s="12" t="s">
        <v>70</v>
      </c>
      <c r="I5" s="12" t="s">
        <v>71</v>
      </c>
      <c r="J5" s="25" t="s">
        <v>72</v>
      </c>
      <c r="K5" s="11" t="s">
        <v>73</v>
      </c>
      <c r="L5" s="11" t="s">
        <v>74</v>
      </c>
      <c r="M5" s="11" t="s">
        <v>75</v>
      </c>
      <c r="N5" s="28" t="s">
        <v>76</v>
      </c>
      <c r="O5" s="11" t="s">
        <v>77</v>
      </c>
      <c r="P5" s="11" t="s">
        <v>78</v>
      </c>
      <c r="Q5" s="11" t="s">
        <v>79</v>
      </c>
      <c r="R5" s="11" t="s">
        <v>80</v>
      </c>
      <c r="S5" s="12" t="s">
        <v>81</v>
      </c>
      <c r="T5" s="12" t="s">
        <v>82</v>
      </c>
      <c r="U5" s="11" t="s">
        <v>83</v>
      </c>
      <c r="V5" s="11" t="s">
        <v>84</v>
      </c>
      <c r="W5" s="11" t="s">
        <v>69</v>
      </c>
      <c r="X5" s="11" t="s">
        <v>85</v>
      </c>
      <c r="Y5" s="11" t="s">
        <v>69</v>
      </c>
      <c r="Z5" s="11" t="s">
        <v>86</v>
      </c>
      <c r="AA5" s="11" t="s">
        <v>74</v>
      </c>
      <c r="AB5" s="28" t="s">
        <v>87</v>
      </c>
      <c r="AC5" s="11" t="s">
        <v>69</v>
      </c>
      <c r="AD5" s="11" t="s">
        <v>69</v>
      </c>
      <c r="AE5" s="11" t="s">
        <v>69</v>
      </c>
      <c r="AF5" s="11" t="s">
        <v>69</v>
      </c>
      <c r="AG5" s="11" t="s">
        <v>69</v>
      </c>
      <c r="AH5" s="11" t="s">
        <v>69</v>
      </c>
      <c r="AI5" s="11" t="s">
        <v>69</v>
      </c>
      <c r="AJ5" s="11" t="s">
        <v>69</v>
      </c>
      <c r="AK5" s="11" t="s">
        <v>88</v>
      </c>
      <c r="AL5" s="11" t="s">
        <v>69</v>
      </c>
      <c r="AM5" s="11" t="s">
        <v>69</v>
      </c>
      <c r="AN5" s="11" t="s">
        <v>69</v>
      </c>
      <c r="AO5" s="11" t="s">
        <v>89</v>
      </c>
      <c r="AP5" s="12" t="s">
        <v>68</v>
      </c>
    </row>
    <row r="6" spans="1:42" ht="14.25" customHeight="1" x14ac:dyDescent="0.35">
      <c r="A6" s="16">
        <v>2002.1015</v>
      </c>
      <c r="B6" s="17" t="s">
        <v>135</v>
      </c>
      <c r="C6" s="18">
        <v>2002</v>
      </c>
      <c r="D6" s="65" t="s">
        <v>90</v>
      </c>
      <c r="E6" s="5"/>
      <c r="F6" s="5" t="b">
        <v>1</v>
      </c>
      <c r="G6" s="5"/>
      <c r="H6" s="5">
        <v>1</v>
      </c>
      <c r="I6" s="29" t="str">
        <f t="shared" ref="I6:I40" si="0">IF(ISNUMBER(H6),CONCATENATE(A6, ".",H6))</f>
        <v>2002.1015.1</v>
      </c>
      <c r="J6" s="5" t="s">
        <v>91</v>
      </c>
      <c r="K6" s="30" t="s">
        <v>92</v>
      </c>
      <c r="L6" s="30"/>
      <c r="M6" s="30"/>
      <c r="N6" s="30"/>
      <c r="O6" s="30" t="s">
        <v>94</v>
      </c>
      <c r="P6" s="5" t="s">
        <v>95</v>
      </c>
      <c r="Q6" s="30"/>
      <c r="R6" s="30" t="s">
        <v>96</v>
      </c>
      <c r="S6" s="22" t="s">
        <v>97</v>
      </c>
      <c r="T6" s="22" t="s">
        <v>98</v>
      </c>
      <c r="U6" s="30"/>
      <c r="V6" s="30"/>
      <c r="W6" s="5"/>
      <c r="X6" s="5" t="s">
        <v>99</v>
      </c>
      <c r="Y6" s="5"/>
      <c r="Z6" s="30"/>
      <c r="AA6" s="30"/>
      <c r="AB6" s="30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30" t="s">
        <v>100</v>
      </c>
      <c r="AP6" s="5"/>
    </row>
    <row r="7" spans="1:42" ht="14.25" customHeight="1" x14ac:dyDescent="0.35">
      <c r="A7" s="16">
        <v>2009.4801</v>
      </c>
      <c r="B7" s="17" t="s">
        <v>136</v>
      </c>
      <c r="C7" s="18">
        <v>2009</v>
      </c>
      <c r="D7" s="65" t="s">
        <v>90</v>
      </c>
      <c r="E7" s="5"/>
      <c r="F7" s="5" t="b">
        <v>1</v>
      </c>
      <c r="G7" s="5"/>
      <c r="H7" s="5">
        <v>1</v>
      </c>
      <c r="I7" s="29" t="str">
        <f t="shared" si="0"/>
        <v>2009.4801.1</v>
      </c>
      <c r="J7" s="5" t="s">
        <v>91</v>
      </c>
      <c r="K7" s="30" t="s">
        <v>101</v>
      </c>
      <c r="L7" s="30"/>
      <c r="M7" s="30"/>
      <c r="N7" s="30"/>
      <c r="O7" s="30" t="s">
        <v>102</v>
      </c>
      <c r="P7" s="5" t="s">
        <v>103</v>
      </c>
      <c r="Q7" s="30" t="s">
        <v>104</v>
      </c>
      <c r="R7" s="30" t="s">
        <v>106</v>
      </c>
      <c r="S7" s="23" t="s">
        <v>97</v>
      </c>
      <c r="T7" s="23" t="s">
        <v>98</v>
      </c>
      <c r="U7" s="30" t="s">
        <v>107</v>
      </c>
      <c r="V7" s="30" t="s">
        <v>108</v>
      </c>
      <c r="W7" s="5"/>
      <c r="X7" s="5"/>
      <c r="Y7" s="5"/>
      <c r="Z7" s="30"/>
      <c r="AA7" s="30"/>
      <c r="AB7" s="30"/>
      <c r="AC7" s="5"/>
      <c r="AD7" s="5" t="s">
        <v>105</v>
      </c>
      <c r="AE7" s="5"/>
      <c r="AF7" s="5"/>
      <c r="AG7" s="5"/>
      <c r="AH7" s="5"/>
      <c r="AI7" s="5"/>
      <c r="AJ7" s="5" t="s">
        <v>105</v>
      </c>
      <c r="AK7" s="5"/>
      <c r="AL7" s="5"/>
      <c r="AM7" s="5"/>
      <c r="AN7" s="5"/>
      <c r="AO7" s="30" t="s">
        <v>100</v>
      </c>
      <c r="AP7" s="5"/>
    </row>
    <row r="8" spans="1:42" ht="14.25" customHeight="1" x14ac:dyDescent="0.35">
      <c r="A8" s="16">
        <v>2021.6008999999999</v>
      </c>
      <c r="B8" s="17" t="s">
        <v>109</v>
      </c>
      <c r="C8" s="18">
        <v>2021</v>
      </c>
      <c r="D8" s="65" t="s">
        <v>90</v>
      </c>
      <c r="E8" s="5"/>
      <c r="F8" s="5" t="b">
        <v>1</v>
      </c>
      <c r="G8" s="5"/>
      <c r="H8" s="5">
        <v>1</v>
      </c>
      <c r="I8" s="29" t="str">
        <f t="shared" si="0"/>
        <v>2021.6009.1</v>
      </c>
      <c r="J8" s="5" t="s">
        <v>110</v>
      </c>
      <c r="K8" s="30" t="s">
        <v>101</v>
      </c>
      <c r="L8" s="30"/>
      <c r="M8" s="30"/>
      <c r="N8" s="30"/>
      <c r="O8" s="30" t="s">
        <v>102</v>
      </c>
      <c r="P8" s="5" t="s">
        <v>95</v>
      </c>
      <c r="Q8" s="30"/>
      <c r="R8" s="30"/>
      <c r="S8" s="22" t="s">
        <v>111</v>
      </c>
      <c r="T8" s="22" t="s">
        <v>98</v>
      </c>
      <c r="U8" s="30"/>
      <c r="V8" s="30"/>
      <c r="W8" s="5"/>
      <c r="X8" s="5"/>
      <c r="Y8" s="5"/>
      <c r="Z8" s="30"/>
      <c r="AA8" s="30"/>
      <c r="AB8" s="30"/>
      <c r="AC8" s="5"/>
      <c r="AD8" s="5" t="s">
        <v>105</v>
      </c>
      <c r="AE8" s="5"/>
      <c r="AF8" s="5"/>
      <c r="AG8" s="5" t="s">
        <v>105</v>
      </c>
      <c r="AH8" s="5"/>
      <c r="AI8" s="5" t="s">
        <v>105</v>
      </c>
      <c r="AJ8" s="5" t="s">
        <v>105</v>
      </c>
      <c r="AK8" s="5"/>
      <c r="AL8" s="5" t="s">
        <v>105</v>
      </c>
      <c r="AM8" s="5"/>
      <c r="AN8" s="5"/>
      <c r="AO8" s="30" t="s">
        <v>100</v>
      </c>
      <c r="AP8" s="5"/>
    </row>
    <row r="9" spans="1:42" ht="14.25" customHeight="1" x14ac:dyDescent="0.35">
      <c r="A9" s="16">
        <v>2017.12763</v>
      </c>
      <c r="B9" s="17" t="s">
        <v>137</v>
      </c>
      <c r="C9" s="18">
        <v>2017</v>
      </c>
      <c r="D9" s="65" t="s">
        <v>90</v>
      </c>
      <c r="E9" s="5"/>
      <c r="F9" s="5" t="b">
        <v>1</v>
      </c>
      <c r="G9" s="5"/>
      <c r="H9" s="5">
        <v>1</v>
      </c>
      <c r="I9" s="29" t="str">
        <f t="shared" si="0"/>
        <v>2017.12763.1</v>
      </c>
      <c r="J9" s="5" t="s">
        <v>112</v>
      </c>
      <c r="K9" s="30" t="s">
        <v>113</v>
      </c>
      <c r="L9" s="30"/>
      <c r="M9" s="30"/>
      <c r="N9" s="30"/>
      <c r="O9" s="30"/>
      <c r="P9" s="5" t="s">
        <v>103</v>
      </c>
      <c r="Q9" s="30" t="s">
        <v>114</v>
      </c>
      <c r="R9" s="30"/>
      <c r="S9" s="23"/>
      <c r="T9" s="23" t="s">
        <v>98</v>
      </c>
      <c r="U9" s="30" t="s">
        <v>107</v>
      </c>
      <c r="V9" s="30"/>
      <c r="W9" s="5"/>
      <c r="X9" s="5"/>
      <c r="Y9" s="5" t="s">
        <v>105</v>
      </c>
      <c r="Z9" s="30"/>
      <c r="AA9" s="30"/>
      <c r="AB9" s="30"/>
      <c r="AC9" s="5" t="s">
        <v>105</v>
      </c>
      <c r="AD9" s="5" t="s">
        <v>105</v>
      </c>
      <c r="AE9" s="5"/>
      <c r="AF9" s="5"/>
      <c r="AG9" s="5"/>
      <c r="AH9" s="5"/>
      <c r="AI9" s="5"/>
      <c r="AJ9" s="5"/>
      <c r="AK9" s="5"/>
      <c r="AL9" s="5"/>
      <c r="AM9" s="5"/>
      <c r="AN9" s="5"/>
      <c r="AO9" s="30" t="s">
        <v>100</v>
      </c>
      <c r="AP9" s="5"/>
    </row>
    <row r="10" spans="1:42" ht="14.25" customHeight="1" x14ac:dyDescent="0.35">
      <c r="A10" s="16">
        <v>2017.12763</v>
      </c>
      <c r="B10" s="17" t="s">
        <v>137</v>
      </c>
      <c r="C10" s="18">
        <v>2017</v>
      </c>
      <c r="D10" s="65" t="s">
        <v>90</v>
      </c>
      <c r="E10" s="5"/>
      <c r="F10" s="5" t="b">
        <v>1</v>
      </c>
      <c r="G10" s="5"/>
      <c r="H10" s="5">
        <v>2</v>
      </c>
      <c r="I10" s="29" t="str">
        <f t="shared" ref="I10" si="1">IF(ISNUMBER(H10),CONCATENATE(A10, ".",H10))</f>
        <v>2017.12763.2</v>
      </c>
      <c r="J10" s="5" t="s">
        <v>115</v>
      </c>
      <c r="K10" s="30" t="s">
        <v>113</v>
      </c>
      <c r="L10" s="30"/>
      <c r="M10" s="30"/>
      <c r="N10" s="30"/>
      <c r="O10" s="30"/>
      <c r="P10" s="5" t="s">
        <v>103</v>
      </c>
      <c r="Q10" s="30" t="s">
        <v>114</v>
      </c>
      <c r="R10" s="30"/>
      <c r="S10" s="23"/>
      <c r="T10" s="23" t="s">
        <v>98</v>
      </c>
      <c r="U10" s="30" t="s">
        <v>107</v>
      </c>
      <c r="V10" s="30"/>
      <c r="W10" s="5"/>
      <c r="X10" s="5"/>
      <c r="Y10" s="5" t="s">
        <v>105</v>
      </c>
      <c r="Z10" s="30"/>
      <c r="AA10" s="30"/>
      <c r="AB10" s="30"/>
      <c r="AC10" s="5" t="s">
        <v>105</v>
      </c>
      <c r="AD10" s="5" t="s">
        <v>105</v>
      </c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30" t="s">
        <v>100</v>
      </c>
      <c r="AP10" s="5"/>
    </row>
    <row r="11" spans="1:42" ht="14.25" customHeight="1" x14ac:dyDescent="0.35">
      <c r="A11" s="16">
        <v>2018.6093000000001</v>
      </c>
      <c r="B11" s="17" t="s">
        <v>138</v>
      </c>
      <c r="C11" s="18">
        <v>2018</v>
      </c>
      <c r="D11" s="65" t="s">
        <v>90</v>
      </c>
      <c r="E11" s="5"/>
      <c r="F11" s="5" t="b">
        <v>1</v>
      </c>
      <c r="G11" s="5"/>
      <c r="H11" s="5">
        <v>1</v>
      </c>
      <c r="I11" s="29" t="str">
        <f t="shared" si="0"/>
        <v>2018.6093.1</v>
      </c>
      <c r="J11" s="5" t="s">
        <v>91</v>
      </c>
      <c r="K11" s="30" t="s">
        <v>92</v>
      </c>
      <c r="L11" s="30"/>
      <c r="M11" s="30"/>
      <c r="N11" s="30"/>
      <c r="O11" s="30" t="s">
        <v>93</v>
      </c>
      <c r="P11" s="5" t="s">
        <v>103</v>
      </c>
      <c r="Q11" s="30" t="s">
        <v>116</v>
      </c>
      <c r="R11" s="30" t="s">
        <v>117</v>
      </c>
      <c r="S11" s="23" t="s">
        <v>118</v>
      </c>
      <c r="T11" s="23" t="s">
        <v>119</v>
      </c>
      <c r="U11" s="30" t="s">
        <v>107</v>
      </c>
      <c r="V11" s="30" t="s">
        <v>120</v>
      </c>
      <c r="W11" s="5"/>
      <c r="X11" s="5" t="s">
        <v>99</v>
      </c>
      <c r="Y11" s="5"/>
      <c r="Z11" s="30"/>
      <c r="AA11" s="30"/>
      <c r="AB11" s="30"/>
      <c r="AC11" s="5" t="s">
        <v>105</v>
      </c>
      <c r="AD11" s="5"/>
      <c r="AE11" s="5"/>
      <c r="AF11" s="5"/>
      <c r="AG11" s="5"/>
      <c r="AH11" s="5"/>
      <c r="AI11" s="5"/>
      <c r="AJ11" s="5"/>
      <c r="AK11" s="5"/>
      <c r="AL11" s="5" t="s">
        <v>105</v>
      </c>
      <c r="AM11" s="5"/>
      <c r="AN11" s="5"/>
      <c r="AO11" s="30" t="s">
        <v>100</v>
      </c>
      <c r="AP11" s="5"/>
    </row>
    <row r="12" spans="1:42" ht="14.25" customHeight="1" x14ac:dyDescent="0.35">
      <c r="A12" s="16">
        <v>2022.6198999999999</v>
      </c>
      <c r="B12" s="17" t="s">
        <v>139</v>
      </c>
      <c r="C12" s="18">
        <v>2022</v>
      </c>
      <c r="D12" s="65" t="s">
        <v>90</v>
      </c>
      <c r="E12" s="5"/>
      <c r="F12" s="5" t="b">
        <v>1</v>
      </c>
      <c r="G12" s="5"/>
      <c r="H12" s="5">
        <v>1</v>
      </c>
      <c r="I12" s="29" t="str">
        <f t="shared" ref="I12" si="2">IF(ISNUMBER(H12),CONCATENATE(A12, ".",H12))</f>
        <v>2022.6199.1</v>
      </c>
      <c r="J12" s="5" t="s">
        <v>121</v>
      </c>
      <c r="K12" s="30" t="s">
        <v>101</v>
      </c>
      <c r="L12" s="30"/>
      <c r="M12" s="30"/>
      <c r="N12" s="30"/>
      <c r="O12" s="30" t="s">
        <v>102</v>
      </c>
      <c r="P12" s="5" t="s">
        <v>103</v>
      </c>
      <c r="Q12" s="30" t="s">
        <v>122</v>
      </c>
      <c r="R12" s="30"/>
      <c r="S12" s="22" t="s">
        <v>97</v>
      </c>
      <c r="T12" s="22"/>
      <c r="U12" s="30" t="s">
        <v>123</v>
      </c>
      <c r="V12" s="30"/>
      <c r="W12" s="5"/>
      <c r="X12" s="5" t="s">
        <v>99</v>
      </c>
      <c r="Y12" s="5"/>
      <c r="Z12" s="30"/>
      <c r="AA12" s="30"/>
      <c r="AB12" s="30"/>
      <c r="AC12" s="5" t="s">
        <v>105</v>
      </c>
      <c r="AD12" s="5"/>
      <c r="AE12" s="5"/>
      <c r="AF12" s="5"/>
      <c r="AG12" s="5"/>
      <c r="AH12" s="5"/>
      <c r="AI12" s="5"/>
      <c r="AJ12" s="5"/>
      <c r="AK12" s="5"/>
      <c r="AL12" s="5" t="s">
        <v>105</v>
      </c>
      <c r="AM12" s="5"/>
      <c r="AN12" s="5"/>
      <c r="AO12" s="30" t="s">
        <v>100</v>
      </c>
      <c r="AP12" s="5"/>
    </row>
    <row r="13" spans="1:42" ht="14.25" customHeight="1" x14ac:dyDescent="0.35">
      <c r="A13" s="16">
        <v>2022.6198999999999</v>
      </c>
      <c r="B13" s="17" t="s">
        <v>139</v>
      </c>
      <c r="C13" s="18">
        <v>2022</v>
      </c>
      <c r="D13" s="65" t="s">
        <v>90</v>
      </c>
      <c r="E13" s="5"/>
      <c r="F13" s="5" t="b">
        <v>1</v>
      </c>
      <c r="G13" s="5"/>
      <c r="H13" s="5">
        <v>1</v>
      </c>
      <c r="I13" s="29" t="str">
        <f t="shared" si="0"/>
        <v>2022.6199.1</v>
      </c>
      <c r="J13" s="5" t="s">
        <v>110</v>
      </c>
      <c r="K13" s="30" t="s">
        <v>101</v>
      </c>
      <c r="L13" s="30"/>
      <c r="M13" s="30"/>
      <c r="N13" s="30"/>
      <c r="O13" s="30" t="s">
        <v>102</v>
      </c>
      <c r="P13" s="5" t="s">
        <v>103</v>
      </c>
      <c r="Q13" s="30" t="s">
        <v>122</v>
      </c>
      <c r="R13" s="30"/>
      <c r="S13" s="22" t="s">
        <v>97</v>
      </c>
      <c r="T13" s="22"/>
      <c r="U13" s="30" t="s">
        <v>123</v>
      </c>
      <c r="V13" s="30"/>
      <c r="W13" s="5"/>
      <c r="X13" s="5" t="s">
        <v>99</v>
      </c>
      <c r="Y13" s="5"/>
      <c r="Z13" s="30"/>
      <c r="AA13" s="30"/>
      <c r="AB13" s="30"/>
      <c r="AC13" s="5" t="s">
        <v>105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30" t="s">
        <v>100</v>
      </c>
      <c r="AP13" s="5"/>
    </row>
    <row r="14" spans="1:42" ht="14.25" customHeight="1" x14ac:dyDescent="0.35">
      <c r="A14" s="16">
        <v>2020.1895</v>
      </c>
      <c r="B14" s="17" t="s">
        <v>140</v>
      </c>
      <c r="C14" s="18">
        <v>2020</v>
      </c>
      <c r="D14" s="65" t="s">
        <v>90</v>
      </c>
      <c r="E14" s="5"/>
      <c r="F14" s="5" t="b">
        <v>1</v>
      </c>
      <c r="G14" s="5"/>
      <c r="H14" s="5">
        <v>1</v>
      </c>
      <c r="I14" s="29" t="str">
        <f t="shared" si="0"/>
        <v>2020.1895.1</v>
      </c>
      <c r="J14" s="5" t="s">
        <v>124</v>
      </c>
      <c r="K14" s="30" t="s">
        <v>101</v>
      </c>
      <c r="L14" s="30"/>
      <c r="M14" s="30" t="s">
        <v>125</v>
      </c>
      <c r="N14" s="30" t="s">
        <v>126</v>
      </c>
      <c r="O14" s="30"/>
      <c r="P14" s="5" t="s">
        <v>103</v>
      </c>
      <c r="Q14" s="30" t="s">
        <v>127</v>
      </c>
      <c r="R14" s="30" t="s">
        <v>128</v>
      </c>
      <c r="S14" s="23" t="s">
        <v>129</v>
      </c>
      <c r="T14" s="23" t="s">
        <v>98</v>
      </c>
      <c r="U14" s="30" t="s">
        <v>107</v>
      </c>
      <c r="V14" s="30" t="s">
        <v>130</v>
      </c>
      <c r="W14" s="5" t="s">
        <v>105</v>
      </c>
      <c r="X14" s="5"/>
      <c r="Y14" s="5"/>
      <c r="Z14" s="30"/>
      <c r="AA14" s="30"/>
      <c r="AB14" s="30"/>
      <c r="AC14" s="5"/>
      <c r="AD14" s="5"/>
      <c r="AE14" s="5"/>
      <c r="AF14" s="5"/>
      <c r="AG14" s="5" t="s">
        <v>105</v>
      </c>
      <c r="AH14" s="5"/>
      <c r="AI14" s="5"/>
      <c r="AJ14" s="5"/>
      <c r="AK14" s="5"/>
      <c r="AL14" s="5"/>
      <c r="AM14" s="5"/>
      <c r="AN14" s="5"/>
      <c r="AO14" s="30" t="s">
        <v>131</v>
      </c>
      <c r="AP14" s="5"/>
    </row>
    <row r="15" spans="1:42" ht="14.25" customHeight="1" x14ac:dyDescent="0.35">
      <c r="A15" s="16">
        <v>2020.15879</v>
      </c>
      <c r="B15" s="17" t="s">
        <v>141</v>
      </c>
      <c r="C15" s="18">
        <v>2020</v>
      </c>
      <c r="D15" s="65" t="s">
        <v>90</v>
      </c>
      <c r="E15" s="5"/>
      <c r="F15" s="5" t="b">
        <v>1</v>
      </c>
      <c r="G15" s="5"/>
      <c r="H15" s="5">
        <v>1</v>
      </c>
      <c r="I15" s="29" t="str">
        <f t="shared" ref="I15" si="3">IF(ISNUMBER(H15),CONCATENATE(A15, ".",H15))</f>
        <v>2020.15879.1</v>
      </c>
      <c r="J15" s="5" t="s">
        <v>112</v>
      </c>
      <c r="K15" s="30" t="s">
        <v>92</v>
      </c>
      <c r="L15" s="30" t="s">
        <v>132</v>
      </c>
      <c r="M15" s="30"/>
      <c r="N15" s="30"/>
      <c r="O15" s="30"/>
      <c r="P15" s="5" t="s">
        <v>95</v>
      </c>
      <c r="Q15" s="30"/>
      <c r="R15" s="30"/>
      <c r="S15" s="22"/>
      <c r="T15" s="22" t="s">
        <v>98</v>
      </c>
      <c r="U15" s="30"/>
      <c r="V15" s="30"/>
      <c r="W15" s="5"/>
      <c r="X15" s="5"/>
      <c r="Y15" s="5" t="s">
        <v>105</v>
      </c>
      <c r="Z15" s="30"/>
      <c r="AA15" s="30"/>
      <c r="AB15" s="30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30" t="s">
        <v>100</v>
      </c>
      <c r="AP15" s="5"/>
    </row>
    <row r="16" spans="1:42" ht="14.25" customHeight="1" x14ac:dyDescent="0.35">
      <c r="A16" s="16">
        <v>2020.15879</v>
      </c>
      <c r="B16" s="17" t="s">
        <v>141</v>
      </c>
      <c r="C16" s="18">
        <v>2020</v>
      </c>
      <c r="D16" s="65" t="s">
        <v>90</v>
      </c>
      <c r="E16" s="5"/>
      <c r="F16" s="5" t="b">
        <v>1</v>
      </c>
      <c r="G16" s="5"/>
      <c r="H16" s="5">
        <v>1</v>
      </c>
      <c r="I16" s="29" t="str">
        <f t="shared" si="0"/>
        <v>2020.15879.1</v>
      </c>
      <c r="J16" s="5" t="s">
        <v>115</v>
      </c>
      <c r="K16" s="30" t="s">
        <v>92</v>
      </c>
      <c r="L16" s="30" t="s">
        <v>132</v>
      </c>
      <c r="M16" s="30"/>
      <c r="N16" s="30"/>
      <c r="O16" s="30"/>
      <c r="P16" s="5" t="s">
        <v>95</v>
      </c>
      <c r="Q16" s="30"/>
      <c r="R16" s="30"/>
      <c r="S16" s="22"/>
      <c r="T16" s="22" t="s">
        <v>98</v>
      </c>
      <c r="U16" s="30"/>
      <c r="V16" s="30"/>
      <c r="W16" s="5"/>
      <c r="X16" s="5"/>
      <c r="Y16" s="5" t="s">
        <v>105</v>
      </c>
      <c r="Z16" s="30"/>
      <c r="AA16" s="30"/>
      <c r="AB16" s="30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30" t="s">
        <v>100</v>
      </c>
      <c r="AP16" s="5"/>
    </row>
    <row r="17" spans="1:42" ht="14.25" customHeight="1" x14ac:dyDescent="0.35">
      <c r="A17" s="16">
        <v>2018.152</v>
      </c>
      <c r="B17" s="17" t="s">
        <v>142</v>
      </c>
      <c r="C17" s="18">
        <v>2018</v>
      </c>
      <c r="D17" s="65" t="s">
        <v>90</v>
      </c>
      <c r="E17" s="5"/>
      <c r="F17" s="5" t="b">
        <v>1</v>
      </c>
      <c r="G17" s="5"/>
      <c r="H17" s="5">
        <v>1</v>
      </c>
      <c r="I17" s="29" t="str">
        <f t="shared" si="0"/>
        <v>2018.152.1</v>
      </c>
      <c r="J17" s="5" t="s">
        <v>91</v>
      </c>
      <c r="K17" s="30" t="s">
        <v>101</v>
      </c>
      <c r="L17" s="30" t="s">
        <v>133</v>
      </c>
      <c r="M17" s="30"/>
      <c r="N17" s="30"/>
      <c r="O17" s="30" t="s">
        <v>102</v>
      </c>
      <c r="P17" s="5" t="s">
        <v>103</v>
      </c>
      <c r="Q17" s="30" t="s">
        <v>114</v>
      </c>
      <c r="R17" s="30" t="s">
        <v>106</v>
      </c>
      <c r="S17" s="23"/>
      <c r="T17" s="23" t="s">
        <v>98</v>
      </c>
      <c r="U17" s="30" t="s">
        <v>123</v>
      </c>
      <c r="V17" s="30" t="s">
        <v>108</v>
      </c>
      <c r="W17" s="5"/>
      <c r="X17" s="5" t="s">
        <v>99</v>
      </c>
      <c r="Y17" s="5"/>
      <c r="Z17" s="30"/>
      <c r="AA17" s="30"/>
      <c r="AB17" s="30"/>
      <c r="AC17" s="5"/>
      <c r="AD17" s="5"/>
      <c r="AE17" s="5" t="s">
        <v>105</v>
      </c>
      <c r="AF17" s="5"/>
      <c r="AG17" s="5" t="s">
        <v>105</v>
      </c>
      <c r="AH17" s="5"/>
      <c r="AI17" s="5"/>
      <c r="AJ17" s="5"/>
      <c r="AK17" s="5"/>
      <c r="AL17" s="5"/>
      <c r="AM17" s="5"/>
      <c r="AN17" s="5"/>
      <c r="AO17" s="30" t="s">
        <v>134</v>
      </c>
      <c r="AP17" s="5"/>
    </row>
    <row r="18" spans="1:42" ht="14.25" customHeight="1" x14ac:dyDescent="0.35">
      <c r="A18" s="16">
        <v>2021.3137999999999</v>
      </c>
      <c r="B18" s="17" t="s">
        <v>148</v>
      </c>
      <c r="C18" s="18">
        <v>2021</v>
      </c>
      <c r="D18" s="65" t="s">
        <v>90</v>
      </c>
      <c r="E18" s="5"/>
      <c r="F18" s="5" t="b">
        <v>1</v>
      </c>
      <c r="G18" s="5"/>
      <c r="H18" s="5">
        <v>1</v>
      </c>
      <c r="I18" s="29" t="str">
        <f t="shared" si="0"/>
        <v>2021.3138.1</v>
      </c>
      <c r="J18" s="5" t="s">
        <v>121</v>
      </c>
      <c r="K18" s="30" t="s">
        <v>92</v>
      </c>
      <c r="L18" s="30"/>
      <c r="M18" s="30" t="s">
        <v>125</v>
      </c>
      <c r="N18" s="30" t="s">
        <v>126</v>
      </c>
      <c r="O18" s="30"/>
      <c r="P18" s="5" t="s">
        <v>103</v>
      </c>
      <c r="Q18" s="30" t="s">
        <v>127</v>
      </c>
      <c r="R18" s="30"/>
      <c r="S18" s="22" t="s">
        <v>111</v>
      </c>
      <c r="T18" s="22" t="s">
        <v>98</v>
      </c>
      <c r="U18" s="30" t="s">
        <v>107</v>
      </c>
      <c r="V18" s="30" t="s">
        <v>120</v>
      </c>
      <c r="W18" s="5"/>
      <c r="X18" s="5"/>
      <c r="Y18" s="5" t="s">
        <v>105</v>
      </c>
      <c r="Z18" s="30"/>
      <c r="AA18" s="30"/>
      <c r="AB18" s="30"/>
      <c r="AC18" s="5" t="s">
        <v>105</v>
      </c>
      <c r="AD18" s="5"/>
      <c r="AE18" s="5"/>
      <c r="AF18" s="5"/>
      <c r="AG18" s="5"/>
      <c r="AH18" s="5"/>
      <c r="AI18" s="5"/>
      <c r="AJ18" s="5"/>
      <c r="AK18" s="5" t="s">
        <v>105</v>
      </c>
      <c r="AL18" s="5" t="s">
        <v>105</v>
      </c>
      <c r="AM18" s="5"/>
      <c r="AN18" s="5"/>
      <c r="AO18" s="30" t="s">
        <v>100</v>
      </c>
      <c r="AP18" s="5"/>
    </row>
    <row r="19" spans="1:42" ht="14.25" customHeight="1" x14ac:dyDescent="0.35">
      <c r="A19" s="16">
        <v>2017.8309999999999</v>
      </c>
      <c r="B19" s="17" t="s">
        <v>149</v>
      </c>
      <c r="C19" s="18">
        <v>2017</v>
      </c>
      <c r="D19" s="65" t="s">
        <v>90</v>
      </c>
      <c r="E19" s="5"/>
      <c r="F19" s="5" t="b">
        <v>1</v>
      </c>
      <c r="G19" s="5"/>
      <c r="H19" s="5">
        <v>1</v>
      </c>
      <c r="I19" s="29" t="str">
        <f t="shared" si="0"/>
        <v>2017.831.1</v>
      </c>
      <c r="J19" s="5" t="s">
        <v>91</v>
      </c>
      <c r="K19" s="30" t="s">
        <v>92</v>
      </c>
      <c r="L19" s="30"/>
      <c r="M19" s="30" t="s">
        <v>125</v>
      </c>
      <c r="N19" s="30" t="s">
        <v>126</v>
      </c>
      <c r="O19" s="30"/>
      <c r="P19" s="5" t="s">
        <v>103</v>
      </c>
      <c r="Q19" s="30" t="s">
        <v>127</v>
      </c>
      <c r="R19" s="30" t="s">
        <v>143</v>
      </c>
      <c r="S19" s="23" t="s">
        <v>144</v>
      </c>
      <c r="T19" s="23" t="s">
        <v>98</v>
      </c>
      <c r="U19" s="30" t="s">
        <v>107</v>
      </c>
      <c r="V19" s="30" t="s">
        <v>130</v>
      </c>
      <c r="W19" s="5" t="s">
        <v>105</v>
      </c>
      <c r="X19" s="5"/>
      <c r="Y19" s="5" t="s">
        <v>105</v>
      </c>
      <c r="Z19" s="30" t="s">
        <v>145</v>
      </c>
      <c r="AA19" s="30" t="s">
        <v>146</v>
      </c>
      <c r="AB19" s="30"/>
      <c r="AC19" s="5"/>
      <c r="AD19" s="5"/>
      <c r="AE19" s="5"/>
      <c r="AF19" s="5"/>
      <c r="AG19" s="5"/>
      <c r="AH19" s="5"/>
      <c r="AI19" s="5"/>
      <c r="AJ19" s="5"/>
      <c r="AK19" s="5" t="s">
        <v>105</v>
      </c>
      <c r="AL19" s="5"/>
      <c r="AM19" s="5"/>
      <c r="AN19" s="5"/>
      <c r="AO19" s="30" t="s">
        <v>100</v>
      </c>
      <c r="AP19" s="5"/>
    </row>
    <row r="20" spans="1:42" ht="14.25" customHeight="1" x14ac:dyDescent="0.35">
      <c r="A20" s="16">
        <v>2021.6041</v>
      </c>
      <c r="B20" s="17" t="s">
        <v>150</v>
      </c>
      <c r="C20" s="18">
        <v>2021</v>
      </c>
      <c r="D20" s="65" t="s">
        <v>90</v>
      </c>
      <c r="E20" s="5"/>
      <c r="F20" s="5" t="b">
        <v>1</v>
      </c>
      <c r="G20" s="5"/>
      <c r="H20" s="5">
        <v>1</v>
      </c>
      <c r="I20" s="29" t="str">
        <f t="shared" si="0"/>
        <v>2021.6041.1</v>
      </c>
      <c r="J20" s="5" t="s">
        <v>121</v>
      </c>
      <c r="K20" s="30" t="s">
        <v>101</v>
      </c>
      <c r="L20" s="30"/>
      <c r="M20" s="30"/>
      <c r="N20" s="30"/>
      <c r="O20" s="30" t="s">
        <v>93</v>
      </c>
      <c r="P20" s="5" t="s">
        <v>103</v>
      </c>
      <c r="Q20" s="30" t="s">
        <v>116</v>
      </c>
      <c r="R20" s="30" t="s">
        <v>117</v>
      </c>
      <c r="S20" s="22" t="s">
        <v>97</v>
      </c>
      <c r="T20" s="22" t="s">
        <v>98</v>
      </c>
      <c r="U20" s="30" t="s">
        <v>107</v>
      </c>
      <c r="V20" s="30" t="s">
        <v>130</v>
      </c>
      <c r="W20" s="5"/>
      <c r="X20" s="5"/>
      <c r="Y20" s="5" t="s">
        <v>105</v>
      </c>
      <c r="Z20" s="30"/>
      <c r="AA20" s="30"/>
      <c r="AB20" s="30"/>
      <c r="AC20" s="5"/>
      <c r="AD20" s="5"/>
      <c r="AE20" s="5"/>
      <c r="AF20" s="5"/>
      <c r="AG20" s="5"/>
      <c r="AH20" s="5"/>
      <c r="AI20" s="5"/>
      <c r="AJ20" s="5"/>
      <c r="AK20" s="5" t="s">
        <v>105</v>
      </c>
      <c r="AL20" s="5" t="s">
        <v>105</v>
      </c>
      <c r="AM20" s="5"/>
      <c r="AN20" s="5"/>
      <c r="AO20" s="30" t="s">
        <v>100</v>
      </c>
      <c r="AP20" s="5"/>
    </row>
    <row r="21" spans="1:42" ht="14.25" customHeight="1" x14ac:dyDescent="0.35">
      <c r="A21" s="16">
        <v>2022.11096</v>
      </c>
      <c r="B21" s="17" t="s">
        <v>151</v>
      </c>
      <c r="C21" s="18">
        <v>2022</v>
      </c>
      <c r="D21" s="65" t="s">
        <v>90</v>
      </c>
      <c r="E21" s="5"/>
      <c r="F21" s="5" t="b">
        <v>1</v>
      </c>
      <c r="G21" s="5"/>
      <c r="H21" s="5">
        <v>1</v>
      </c>
      <c r="I21" s="29" t="str">
        <f t="shared" si="0"/>
        <v>2022.11096.1</v>
      </c>
      <c r="J21" s="5" t="s">
        <v>115</v>
      </c>
      <c r="K21" s="30" t="s">
        <v>92</v>
      </c>
      <c r="L21" s="30" t="s">
        <v>147</v>
      </c>
      <c r="M21" s="30"/>
      <c r="N21" s="30"/>
      <c r="O21" s="30" t="s">
        <v>102</v>
      </c>
      <c r="P21" s="5" t="s">
        <v>103</v>
      </c>
      <c r="Q21" s="30" t="s">
        <v>127</v>
      </c>
      <c r="R21" s="30"/>
      <c r="S21" s="23"/>
      <c r="T21" s="23" t="s">
        <v>98</v>
      </c>
      <c r="U21" s="30" t="s">
        <v>107</v>
      </c>
      <c r="V21" s="30" t="s">
        <v>130</v>
      </c>
      <c r="W21" s="5"/>
      <c r="X21" s="5"/>
      <c r="Y21" s="5" t="s">
        <v>105</v>
      </c>
      <c r="Z21" s="30"/>
      <c r="AA21" s="30"/>
      <c r="AB21" s="30"/>
      <c r="AC21" s="5"/>
      <c r="AD21" s="5"/>
      <c r="AE21" s="5"/>
      <c r="AF21" s="5"/>
      <c r="AG21" s="5"/>
      <c r="AH21" s="5"/>
      <c r="AI21" s="5"/>
      <c r="AJ21" s="5"/>
      <c r="AK21" s="5" t="s">
        <v>105</v>
      </c>
      <c r="AL21" s="5"/>
      <c r="AM21" s="5"/>
      <c r="AN21" s="5"/>
      <c r="AO21" s="30" t="s">
        <v>100</v>
      </c>
      <c r="AP21" s="5"/>
    </row>
    <row r="22" spans="1:42" ht="14.25" customHeight="1" x14ac:dyDescent="0.35">
      <c r="A22" s="16">
        <v>2018.14444</v>
      </c>
      <c r="B22" s="17" t="s">
        <v>152</v>
      </c>
      <c r="C22" s="18">
        <v>2018</v>
      </c>
      <c r="D22" s="65" t="s">
        <v>90</v>
      </c>
      <c r="E22" s="5"/>
      <c r="F22" s="5" t="b">
        <v>1</v>
      </c>
      <c r="G22" s="5"/>
      <c r="H22" s="5">
        <v>1</v>
      </c>
      <c r="I22" s="29" t="str">
        <f t="shared" si="0"/>
        <v>2018.14444.1</v>
      </c>
      <c r="J22" s="5" t="s">
        <v>112</v>
      </c>
      <c r="K22" s="30" t="s">
        <v>101</v>
      </c>
      <c r="L22" s="30" t="s">
        <v>132</v>
      </c>
      <c r="M22" s="30"/>
      <c r="N22" s="30"/>
      <c r="O22" s="30"/>
      <c r="P22" s="5" t="s">
        <v>103</v>
      </c>
      <c r="Q22" s="30" t="s">
        <v>116</v>
      </c>
      <c r="R22" s="30" t="s">
        <v>106</v>
      </c>
      <c r="S22" s="22" t="s">
        <v>7</v>
      </c>
      <c r="T22" s="22" t="s">
        <v>98</v>
      </c>
      <c r="U22" s="30" t="s">
        <v>107</v>
      </c>
      <c r="V22" s="30" t="s">
        <v>130</v>
      </c>
      <c r="W22" s="5"/>
      <c r="X22" s="5"/>
      <c r="Y22" s="5" t="s">
        <v>105</v>
      </c>
      <c r="Z22" s="30"/>
      <c r="AA22" s="30"/>
      <c r="AB22" s="30"/>
      <c r="AC22" s="5"/>
      <c r="AD22" s="5"/>
      <c r="AE22" s="5"/>
      <c r="AF22" s="5"/>
      <c r="AG22" s="5"/>
      <c r="AH22" s="5"/>
      <c r="AI22" s="5"/>
      <c r="AJ22" s="5"/>
      <c r="AK22" s="5" t="s">
        <v>105</v>
      </c>
      <c r="AL22" s="5"/>
      <c r="AM22" s="5"/>
      <c r="AN22" s="5"/>
      <c r="AO22" s="30" t="s">
        <v>100</v>
      </c>
      <c r="AP22" s="5"/>
    </row>
    <row r="23" spans="1:42" ht="14.25" customHeight="1" x14ac:dyDescent="0.35">
      <c r="A23" s="16">
        <v>2022.1744900000001</v>
      </c>
      <c r="B23" s="17" t="s">
        <v>174</v>
      </c>
      <c r="C23" s="18">
        <v>2022</v>
      </c>
      <c r="D23" s="65" t="s">
        <v>90</v>
      </c>
      <c r="E23" s="5"/>
      <c r="F23" s="5" t="b">
        <v>1</v>
      </c>
      <c r="G23" s="5"/>
      <c r="H23" s="5">
        <v>1</v>
      </c>
      <c r="I23" s="29" t="str">
        <f t="shared" si="0"/>
        <v>2022.17449.1</v>
      </c>
      <c r="J23" s="5" t="s">
        <v>112</v>
      </c>
      <c r="K23" s="30" t="s">
        <v>101</v>
      </c>
      <c r="L23" s="30" t="s">
        <v>132</v>
      </c>
      <c r="M23" s="30"/>
      <c r="N23" s="30"/>
      <c r="O23" s="30"/>
      <c r="P23" s="5" t="s">
        <v>103</v>
      </c>
      <c r="Q23" s="30" t="s">
        <v>153</v>
      </c>
      <c r="R23" s="30"/>
      <c r="S23" s="23"/>
      <c r="T23" s="23"/>
      <c r="U23" s="30"/>
      <c r="V23" s="30"/>
      <c r="W23" s="5"/>
      <c r="X23" s="5"/>
      <c r="Y23" s="5" t="s">
        <v>105</v>
      </c>
      <c r="Z23" s="30"/>
      <c r="AA23" s="30"/>
      <c r="AB23" s="30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30" t="s">
        <v>100</v>
      </c>
      <c r="AP23" s="5"/>
    </row>
    <row r="24" spans="1:42" ht="14.25" customHeight="1" x14ac:dyDescent="0.35">
      <c r="A24" s="16">
        <v>2020.1405299999999</v>
      </c>
      <c r="B24" s="17" t="s">
        <v>175</v>
      </c>
      <c r="C24" s="18">
        <v>2020</v>
      </c>
      <c r="D24" s="65" t="s">
        <v>90</v>
      </c>
      <c r="E24" s="5"/>
      <c r="F24" s="5" t="b">
        <v>1</v>
      </c>
      <c r="G24" s="5"/>
      <c r="H24" s="5">
        <v>1</v>
      </c>
      <c r="I24" s="29" t="str">
        <f t="shared" si="0"/>
        <v>2020.14053.1</v>
      </c>
      <c r="J24" s="5" t="s">
        <v>121</v>
      </c>
      <c r="K24" s="30" t="s">
        <v>101</v>
      </c>
      <c r="L24" s="30"/>
      <c r="M24" s="30"/>
      <c r="N24" s="30"/>
      <c r="O24" s="30" t="s">
        <v>154</v>
      </c>
      <c r="P24" s="5" t="s">
        <v>103</v>
      </c>
      <c r="Q24" s="30" t="s">
        <v>116</v>
      </c>
      <c r="R24" s="30"/>
      <c r="S24" s="22" t="s">
        <v>155</v>
      </c>
      <c r="T24" s="22" t="s">
        <v>98</v>
      </c>
      <c r="U24" s="30" t="s">
        <v>107</v>
      </c>
      <c r="V24" s="30" t="s">
        <v>130</v>
      </c>
      <c r="W24" s="5"/>
      <c r="X24" s="5" t="s">
        <v>99</v>
      </c>
      <c r="Y24" s="5"/>
      <c r="Z24" s="30"/>
      <c r="AA24" s="30"/>
      <c r="AB24" s="30"/>
      <c r="AC24" s="5"/>
      <c r="AD24" s="5"/>
      <c r="AE24" s="5"/>
      <c r="AF24" s="5"/>
      <c r="AG24" s="5" t="s">
        <v>105</v>
      </c>
      <c r="AH24" s="5"/>
      <c r="AI24" s="5"/>
      <c r="AJ24" s="5"/>
      <c r="AK24" s="5"/>
      <c r="AL24" s="5" t="s">
        <v>105</v>
      </c>
      <c r="AM24" s="5"/>
      <c r="AN24" s="5"/>
      <c r="AO24" s="30" t="s">
        <v>100</v>
      </c>
      <c r="AP24" s="5"/>
    </row>
    <row r="25" spans="1:42" ht="14.25" customHeight="1" x14ac:dyDescent="0.35">
      <c r="A25" s="16">
        <v>2022.6239</v>
      </c>
      <c r="B25" s="17" t="s">
        <v>176</v>
      </c>
      <c r="C25" s="18">
        <v>2022</v>
      </c>
      <c r="D25" s="65" t="s">
        <v>90</v>
      </c>
      <c r="E25" s="5"/>
      <c r="F25" s="5" t="b">
        <v>1</v>
      </c>
      <c r="G25" s="5"/>
      <c r="H25" s="5">
        <v>1</v>
      </c>
      <c r="I25" s="29" t="str">
        <f t="shared" si="0"/>
        <v>2022.6239.1</v>
      </c>
      <c r="J25" s="5" t="s">
        <v>121</v>
      </c>
      <c r="K25" s="30" t="s">
        <v>92</v>
      </c>
      <c r="L25" s="30"/>
      <c r="M25" s="30"/>
      <c r="N25" s="30"/>
      <c r="O25" s="30" t="s">
        <v>156</v>
      </c>
      <c r="P25" s="5" t="s">
        <v>103</v>
      </c>
      <c r="Q25" s="30" t="s">
        <v>127</v>
      </c>
      <c r="R25" s="30" t="s">
        <v>117</v>
      </c>
      <c r="S25" s="23" t="s">
        <v>118</v>
      </c>
      <c r="T25" s="23" t="s">
        <v>98</v>
      </c>
      <c r="U25" s="30" t="s">
        <v>107</v>
      </c>
      <c r="V25" s="30" t="s">
        <v>130</v>
      </c>
      <c r="W25" s="5"/>
      <c r="X25" s="5"/>
      <c r="Y25" s="5" t="s">
        <v>105</v>
      </c>
      <c r="Z25" s="30"/>
      <c r="AA25" s="30"/>
      <c r="AB25" s="30"/>
      <c r="AC25" s="5"/>
      <c r="AD25" s="5"/>
      <c r="AE25" s="5"/>
      <c r="AF25" s="5"/>
      <c r="AG25" s="5"/>
      <c r="AH25" s="5"/>
      <c r="AI25" s="5"/>
      <c r="AJ25" s="5"/>
      <c r="AK25" s="5"/>
      <c r="AL25" s="5" t="s">
        <v>105</v>
      </c>
      <c r="AM25" s="5"/>
      <c r="AN25" s="5"/>
      <c r="AO25" s="30" t="s">
        <v>100</v>
      </c>
      <c r="AP25" s="5"/>
    </row>
    <row r="26" spans="1:42" ht="14.25" customHeight="1" x14ac:dyDescent="0.35">
      <c r="A26" s="16">
        <v>2017.1189999999999</v>
      </c>
      <c r="B26" s="17" t="s">
        <v>177</v>
      </c>
      <c r="C26" s="18">
        <v>2017</v>
      </c>
      <c r="D26" s="65" t="s">
        <v>90</v>
      </c>
      <c r="E26" s="5"/>
      <c r="F26" s="5" t="b">
        <v>1</v>
      </c>
      <c r="G26" s="5"/>
      <c r="H26" s="5">
        <v>1</v>
      </c>
      <c r="I26" s="29" t="str">
        <f t="shared" ref="I26" si="4">IF(ISNUMBER(H26),CONCATENATE(A26, ".",H26))</f>
        <v>2017.119.1</v>
      </c>
      <c r="J26" s="5" t="s">
        <v>112</v>
      </c>
      <c r="K26" s="30" t="s">
        <v>113</v>
      </c>
      <c r="L26" s="30"/>
      <c r="M26" s="30"/>
      <c r="N26" s="30"/>
      <c r="O26" s="30"/>
      <c r="P26" s="5" t="s">
        <v>95</v>
      </c>
      <c r="Q26" s="30"/>
      <c r="R26" s="30"/>
      <c r="S26" s="22"/>
      <c r="T26" s="22" t="s">
        <v>158</v>
      </c>
      <c r="U26" s="30"/>
      <c r="V26" s="30"/>
      <c r="W26" s="5"/>
      <c r="X26" s="5"/>
      <c r="Y26" s="5" t="s">
        <v>105</v>
      </c>
      <c r="Z26" s="30"/>
      <c r="AA26" s="30"/>
      <c r="AB26" s="30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30" t="s">
        <v>100</v>
      </c>
      <c r="AP26" s="5"/>
    </row>
    <row r="27" spans="1:42" ht="14.25" customHeight="1" x14ac:dyDescent="0.35">
      <c r="A27" s="16">
        <v>2017.1189999999999</v>
      </c>
      <c r="B27" s="17" t="s">
        <v>157</v>
      </c>
      <c r="C27" s="18">
        <v>2017</v>
      </c>
      <c r="D27" s="65" t="s">
        <v>90</v>
      </c>
      <c r="E27" s="5"/>
      <c r="F27" s="5" t="b">
        <v>1</v>
      </c>
      <c r="G27" s="5"/>
      <c r="H27" s="5">
        <v>2</v>
      </c>
      <c r="I27" s="29" t="str">
        <f t="shared" si="0"/>
        <v>2017.119.2</v>
      </c>
      <c r="J27" s="5" t="s">
        <v>115</v>
      </c>
      <c r="K27" s="30" t="s">
        <v>113</v>
      </c>
      <c r="L27" s="30"/>
      <c r="M27" s="30"/>
      <c r="N27" s="30"/>
      <c r="O27" s="30"/>
      <c r="P27" s="5" t="s">
        <v>95</v>
      </c>
      <c r="Q27" s="30"/>
      <c r="R27" s="30"/>
      <c r="S27" s="22"/>
      <c r="T27" s="22" t="s">
        <v>158</v>
      </c>
      <c r="U27" s="30"/>
      <c r="V27" s="30"/>
      <c r="W27" s="5"/>
      <c r="X27" s="5"/>
      <c r="Y27" s="5" t="s">
        <v>105</v>
      </c>
      <c r="Z27" s="30"/>
      <c r="AA27" s="30"/>
      <c r="AB27" s="30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30" t="s">
        <v>100</v>
      </c>
      <c r="AP27" s="5"/>
    </row>
    <row r="28" spans="1:42" ht="14.25" customHeight="1" x14ac:dyDescent="0.35">
      <c r="A28" s="16">
        <v>2021.1101200000001</v>
      </c>
      <c r="B28" s="17" t="s">
        <v>178</v>
      </c>
      <c r="C28" s="18">
        <v>2021</v>
      </c>
      <c r="D28" s="65" t="s">
        <v>90</v>
      </c>
      <c r="E28" s="5"/>
      <c r="F28" s="5" t="b">
        <v>1</v>
      </c>
      <c r="G28" s="5"/>
      <c r="H28" s="5">
        <v>1</v>
      </c>
      <c r="I28" s="29" t="str">
        <f t="shared" si="0"/>
        <v>2021.11012.1</v>
      </c>
      <c r="J28" s="5" t="s">
        <v>115</v>
      </c>
      <c r="K28" s="30" t="s">
        <v>92</v>
      </c>
      <c r="L28" s="30" t="s">
        <v>159</v>
      </c>
      <c r="M28" s="30"/>
      <c r="N28" s="30"/>
      <c r="O28" s="30" t="s">
        <v>160</v>
      </c>
      <c r="P28" s="5" t="s">
        <v>103</v>
      </c>
      <c r="Q28" s="30" t="s">
        <v>127</v>
      </c>
      <c r="R28" s="30" t="s">
        <v>117</v>
      </c>
      <c r="S28" s="23"/>
      <c r="T28" s="23" t="s">
        <v>161</v>
      </c>
      <c r="U28" s="30" t="s">
        <v>107</v>
      </c>
      <c r="V28" s="30" t="s">
        <v>130</v>
      </c>
      <c r="W28" s="5"/>
      <c r="X28" s="5"/>
      <c r="Y28" s="5" t="s">
        <v>105</v>
      </c>
      <c r="Z28" s="30"/>
      <c r="AA28" s="30"/>
      <c r="AB28" s="30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30" t="s">
        <v>100</v>
      </c>
      <c r="AP28" s="5"/>
    </row>
    <row r="29" spans="1:42" ht="14.25" customHeight="1" x14ac:dyDescent="0.35">
      <c r="A29" s="19">
        <v>2021.172</v>
      </c>
      <c r="B29" s="19" t="s">
        <v>179</v>
      </c>
      <c r="C29" s="20">
        <v>2021</v>
      </c>
      <c r="D29" s="65" t="s">
        <v>90</v>
      </c>
      <c r="E29" s="5"/>
      <c r="F29" s="5" t="b">
        <v>1</v>
      </c>
      <c r="G29" s="5"/>
      <c r="H29" s="5">
        <v>1</v>
      </c>
      <c r="I29" s="29" t="str">
        <f t="shared" si="0"/>
        <v>2021.172.1</v>
      </c>
      <c r="J29" s="5" t="s">
        <v>110</v>
      </c>
      <c r="K29" s="30" t="s">
        <v>92</v>
      </c>
      <c r="L29" s="30"/>
      <c r="M29" s="30"/>
      <c r="N29" s="30"/>
      <c r="O29" s="30" t="s">
        <v>102</v>
      </c>
      <c r="P29" s="5" t="s">
        <v>103</v>
      </c>
      <c r="Q29" s="30" t="s">
        <v>162</v>
      </c>
      <c r="R29" s="30" t="s">
        <v>117</v>
      </c>
      <c r="S29" s="22" t="s">
        <v>97</v>
      </c>
      <c r="T29" s="22" t="s">
        <v>98</v>
      </c>
      <c r="U29" s="30" t="s">
        <v>107</v>
      </c>
      <c r="V29" s="30" t="s">
        <v>120</v>
      </c>
      <c r="W29" s="5"/>
      <c r="X29" s="5" t="s">
        <v>99</v>
      </c>
      <c r="Y29" s="5"/>
      <c r="Z29" s="30"/>
      <c r="AA29" s="30"/>
      <c r="AB29" s="30"/>
      <c r="AC29" s="5" t="s">
        <v>105</v>
      </c>
      <c r="AD29" s="5" t="s">
        <v>105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30" t="s">
        <v>163</v>
      </c>
      <c r="AP29" s="5"/>
    </row>
    <row r="30" spans="1:42" ht="14.25" customHeight="1" x14ac:dyDescent="0.35">
      <c r="A30" s="19">
        <v>2018.6541</v>
      </c>
      <c r="B30" s="19" t="s">
        <v>180</v>
      </c>
      <c r="C30" s="20">
        <v>2018</v>
      </c>
      <c r="D30" s="65" t="s">
        <v>90</v>
      </c>
      <c r="E30" s="5"/>
      <c r="F30" s="5" t="b">
        <v>1</v>
      </c>
      <c r="G30" s="5"/>
      <c r="H30" s="5">
        <v>1</v>
      </c>
      <c r="I30" s="29" t="str">
        <f t="shared" si="0"/>
        <v>2018.6541.1</v>
      </c>
      <c r="J30" s="5" t="s">
        <v>110</v>
      </c>
      <c r="K30" s="30" t="s">
        <v>101</v>
      </c>
      <c r="L30" s="30"/>
      <c r="M30" s="30"/>
      <c r="N30" s="30"/>
      <c r="O30" s="30" t="s">
        <v>164</v>
      </c>
      <c r="P30" s="5" t="s">
        <v>103</v>
      </c>
      <c r="Q30" s="30" t="s">
        <v>153</v>
      </c>
      <c r="R30" s="30"/>
      <c r="S30" s="23" t="s">
        <v>97</v>
      </c>
      <c r="T30" s="23"/>
      <c r="U30" s="30"/>
      <c r="V30" s="30"/>
      <c r="W30" s="5"/>
      <c r="X30" s="5"/>
      <c r="Y30" s="5"/>
      <c r="Z30" s="30"/>
      <c r="AA30" s="30"/>
      <c r="AB30" s="30"/>
      <c r="AC30" s="5" t="s">
        <v>105</v>
      </c>
      <c r="AD30" s="5" t="s">
        <v>105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30" t="s">
        <v>163</v>
      </c>
      <c r="AP30" s="5"/>
    </row>
    <row r="31" spans="1:42" ht="14.25" customHeight="1" x14ac:dyDescent="0.35">
      <c r="A31" s="19">
        <v>2019.1586500000001</v>
      </c>
      <c r="B31" s="19" t="s">
        <v>181</v>
      </c>
      <c r="C31" s="20">
        <v>2019</v>
      </c>
      <c r="D31" s="65" t="s">
        <v>90</v>
      </c>
      <c r="E31" s="5"/>
      <c r="F31" s="5" t="b">
        <v>1</v>
      </c>
      <c r="G31" s="5"/>
      <c r="H31" s="5">
        <v>1</v>
      </c>
      <c r="I31" s="29" t="str">
        <f t="shared" si="0"/>
        <v>2019.15865.1</v>
      </c>
      <c r="J31" s="5" t="s">
        <v>112</v>
      </c>
      <c r="K31" s="30" t="s">
        <v>101</v>
      </c>
      <c r="L31" s="30" t="s">
        <v>132</v>
      </c>
      <c r="M31" s="30"/>
      <c r="N31" s="30"/>
      <c r="O31" s="30"/>
      <c r="P31" s="5" t="s">
        <v>103</v>
      </c>
      <c r="Q31" s="30" t="s">
        <v>122</v>
      </c>
      <c r="R31" s="30" t="s">
        <v>106</v>
      </c>
      <c r="S31" s="22"/>
      <c r="T31" s="22" t="s">
        <v>98</v>
      </c>
      <c r="U31" s="30" t="s">
        <v>107</v>
      </c>
      <c r="V31" s="30" t="s">
        <v>120</v>
      </c>
      <c r="W31" s="5"/>
      <c r="X31" s="5"/>
      <c r="Y31" s="5" t="s">
        <v>105</v>
      </c>
      <c r="Z31" s="30"/>
      <c r="AA31" s="30"/>
      <c r="AB31" s="30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30" t="s">
        <v>100</v>
      </c>
      <c r="AP31" s="5"/>
    </row>
    <row r="32" spans="1:42" ht="14.25" customHeight="1" x14ac:dyDescent="0.35">
      <c r="A32" s="29">
        <v>2022.6313</v>
      </c>
      <c r="B32" s="29" t="s">
        <v>182</v>
      </c>
      <c r="C32" s="21">
        <v>2022</v>
      </c>
      <c r="D32" s="65" t="s">
        <v>90</v>
      </c>
      <c r="E32" s="5"/>
      <c r="F32" s="5" t="b">
        <v>1</v>
      </c>
      <c r="G32" s="5"/>
      <c r="H32" s="5">
        <v>1</v>
      </c>
      <c r="I32" s="29" t="str">
        <f t="shared" si="0"/>
        <v>2022.6313.1</v>
      </c>
      <c r="J32" s="5" t="s">
        <v>121</v>
      </c>
      <c r="K32" s="30" t="s">
        <v>165</v>
      </c>
      <c r="L32" s="30"/>
      <c r="M32" s="30"/>
      <c r="N32" s="30"/>
      <c r="O32" s="30" t="s">
        <v>102</v>
      </c>
      <c r="P32" s="5" t="s">
        <v>166</v>
      </c>
      <c r="Q32" s="30"/>
      <c r="R32" s="30" t="s">
        <v>106</v>
      </c>
      <c r="S32" s="23" t="s">
        <v>97</v>
      </c>
      <c r="T32" s="23" t="s">
        <v>98</v>
      </c>
      <c r="U32" s="30"/>
      <c r="V32" s="30"/>
      <c r="W32" s="5"/>
      <c r="X32" s="5"/>
      <c r="Y32" s="5"/>
      <c r="Z32" s="30"/>
      <c r="AA32" s="30"/>
      <c r="AB32" s="30"/>
      <c r="AC32" s="5"/>
      <c r="AD32" s="5" t="s">
        <v>105</v>
      </c>
      <c r="AE32" s="5"/>
      <c r="AF32" s="5"/>
      <c r="AG32" s="5"/>
      <c r="AH32" s="5"/>
      <c r="AI32" s="5"/>
      <c r="AJ32" s="5"/>
      <c r="AK32" s="5"/>
      <c r="AL32" s="5" t="s">
        <v>105</v>
      </c>
      <c r="AM32" s="5"/>
      <c r="AN32" s="5"/>
      <c r="AO32" s="30" t="s">
        <v>100</v>
      </c>
      <c r="AP32" s="5"/>
    </row>
    <row r="33" spans="1:42" ht="14.25" customHeight="1" x14ac:dyDescent="0.35">
      <c r="A33" s="29">
        <v>2011.6661999999999</v>
      </c>
      <c r="B33" s="29" t="s">
        <v>183</v>
      </c>
      <c r="C33" s="21">
        <v>2011</v>
      </c>
      <c r="D33" s="65" t="s">
        <v>90</v>
      </c>
      <c r="E33" s="5"/>
      <c r="F33" s="5" t="b">
        <v>1</v>
      </c>
      <c r="G33" s="5"/>
      <c r="H33" s="5">
        <v>1</v>
      </c>
      <c r="I33" s="29" t="str">
        <f t="shared" si="0"/>
        <v>2011.6662.1</v>
      </c>
      <c r="J33" s="5" t="s">
        <v>91</v>
      </c>
      <c r="K33" s="30" t="s">
        <v>92</v>
      </c>
      <c r="L33" s="30" t="s">
        <v>133</v>
      </c>
      <c r="M33" s="30"/>
      <c r="N33" s="30"/>
      <c r="O33" s="30" t="s">
        <v>102</v>
      </c>
      <c r="P33" s="5" t="s">
        <v>95</v>
      </c>
      <c r="Q33" s="30"/>
      <c r="R33" s="30"/>
      <c r="S33" s="22" t="s">
        <v>97</v>
      </c>
      <c r="T33" s="22" t="s">
        <v>98</v>
      </c>
      <c r="U33" s="30"/>
      <c r="V33" s="30"/>
      <c r="W33" s="5"/>
      <c r="X33" s="5"/>
      <c r="Y33" s="5" t="s">
        <v>105</v>
      </c>
      <c r="Z33" s="30" t="s">
        <v>167</v>
      </c>
      <c r="AA33" s="30" t="s">
        <v>168</v>
      </c>
      <c r="AB33" s="30"/>
      <c r="AC33" s="5"/>
      <c r="AD33" s="5"/>
      <c r="AE33" s="5"/>
      <c r="AF33" s="5"/>
      <c r="AG33" s="5" t="s">
        <v>105</v>
      </c>
      <c r="AH33" s="5"/>
      <c r="AI33" s="5"/>
      <c r="AJ33" s="5"/>
      <c r="AK33" s="5"/>
      <c r="AL33" s="5"/>
      <c r="AM33" s="5" t="s">
        <v>105</v>
      </c>
      <c r="AN33" s="5"/>
      <c r="AO33" s="30" t="s">
        <v>100</v>
      </c>
      <c r="AP33" s="5"/>
    </row>
    <row r="34" spans="1:42" ht="14.25" customHeight="1" x14ac:dyDescent="0.35">
      <c r="A34" s="29">
        <v>2014.2128</v>
      </c>
      <c r="B34" s="29" t="s">
        <v>184</v>
      </c>
      <c r="C34" s="21">
        <v>2014</v>
      </c>
      <c r="D34" s="65" t="s">
        <v>90</v>
      </c>
      <c r="E34" s="5"/>
      <c r="F34" s="5" t="b">
        <v>1</v>
      </c>
      <c r="G34" s="5"/>
      <c r="H34" s="5">
        <v>1</v>
      </c>
      <c r="I34" s="29" t="str">
        <f t="shared" si="0"/>
        <v>2014.2128.1</v>
      </c>
      <c r="J34" s="5" t="s">
        <v>112</v>
      </c>
      <c r="K34" s="30" t="s">
        <v>165</v>
      </c>
      <c r="L34" s="30" t="s">
        <v>132</v>
      </c>
      <c r="M34" s="30"/>
      <c r="N34" s="30"/>
      <c r="O34" s="30"/>
      <c r="P34" s="5" t="s">
        <v>103</v>
      </c>
      <c r="Q34" s="30" t="s">
        <v>122</v>
      </c>
      <c r="R34" s="30" t="s">
        <v>117</v>
      </c>
      <c r="S34" s="23"/>
      <c r="T34" s="23" t="s">
        <v>98</v>
      </c>
      <c r="U34" s="30" t="s">
        <v>107</v>
      </c>
      <c r="V34" s="30" t="s">
        <v>108</v>
      </c>
      <c r="W34" s="5"/>
      <c r="X34" s="5"/>
      <c r="Y34" s="5" t="s">
        <v>105</v>
      </c>
      <c r="Z34" s="30"/>
      <c r="AA34" s="30"/>
      <c r="AB34" s="30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30" t="s">
        <v>100</v>
      </c>
      <c r="AP34" s="5"/>
    </row>
    <row r="35" spans="1:42" ht="14.25" customHeight="1" x14ac:dyDescent="0.35">
      <c r="A35" s="29">
        <v>2016.3642</v>
      </c>
      <c r="B35" s="29" t="s">
        <v>185</v>
      </c>
      <c r="C35" s="21">
        <v>2016</v>
      </c>
      <c r="D35" s="65" t="s">
        <v>90</v>
      </c>
      <c r="E35" s="5"/>
      <c r="F35" s="5" t="b">
        <v>1</v>
      </c>
      <c r="G35" s="5"/>
      <c r="H35" s="5">
        <v>1</v>
      </c>
      <c r="I35" s="29" t="str">
        <f t="shared" si="0"/>
        <v>2016.3642.1</v>
      </c>
      <c r="J35" s="5" t="s">
        <v>112</v>
      </c>
      <c r="K35" s="30" t="s">
        <v>165</v>
      </c>
      <c r="L35" s="30" t="s">
        <v>132</v>
      </c>
      <c r="M35" s="30"/>
      <c r="N35" s="30"/>
      <c r="O35" s="30"/>
      <c r="P35" s="5" t="s">
        <v>103</v>
      </c>
      <c r="Q35" s="30" t="s">
        <v>122</v>
      </c>
      <c r="R35" s="30" t="s">
        <v>117</v>
      </c>
      <c r="S35" s="22"/>
      <c r="T35" s="22" t="s">
        <v>98</v>
      </c>
      <c r="U35" s="30" t="s">
        <v>107</v>
      </c>
      <c r="V35" s="30" t="s">
        <v>169</v>
      </c>
      <c r="W35" s="5"/>
      <c r="X35" s="5"/>
      <c r="Y35" s="5" t="s">
        <v>105</v>
      </c>
      <c r="Z35" s="30"/>
      <c r="AA35" s="30"/>
      <c r="AB35" s="30" t="s">
        <v>91</v>
      </c>
      <c r="AC35" s="5" t="s">
        <v>105</v>
      </c>
      <c r="AD35" s="5" t="s">
        <v>105</v>
      </c>
      <c r="AE35" s="5"/>
      <c r="AF35" s="5"/>
      <c r="AG35" s="5"/>
      <c r="AH35" s="5"/>
      <c r="AI35" s="5"/>
      <c r="AJ35" s="5" t="s">
        <v>105</v>
      </c>
      <c r="AK35" s="5"/>
      <c r="AL35" s="5"/>
      <c r="AM35" s="5"/>
      <c r="AN35" s="5"/>
      <c r="AO35" s="30" t="s">
        <v>170</v>
      </c>
      <c r="AP35" s="5"/>
    </row>
    <row r="36" spans="1:42" ht="14.25" customHeight="1" x14ac:dyDescent="0.35">
      <c r="A36" s="29">
        <v>2021.5540000000001</v>
      </c>
      <c r="B36" s="29" t="s">
        <v>186</v>
      </c>
      <c r="C36" s="21">
        <v>2019</v>
      </c>
      <c r="D36" s="65" t="s">
        <v>90</v>
      </c>
      <c r="E36" s="5"/>
      <c r="F36" s="5" t="b">
        <v>1</v>
      </c>
      <c r="G36" s="5"/>
      <c r="H36" s="5">
        <v>1</v>
      </c>
      <c r="I36" s="29" t="str">
        <f t="shared" si="0"/>
        <v>2021.554.1</v>
      </c>
      <c r="J36" s="5" t="s">
        <v>110</v>
      </c>
      <c r="K36" s="30" t="s">
        <v>171</v>
      </c>
      <c r="L36" s="30"/>
      <c r="M36" s="30"/>
      <c r="N36" s="30"/>
      <c r="O36" s="30" t="s">
        <v>93</v>
      </c>
      <c r="P36" s="5" t="s">
        <v>103</v>
      </c>
      <c r="Q36" s="30" t="s">
        <v>162</v>
      </c>
      <c r="R36" s="30" t="s">
        <v>106</v>
      </c>
      <c r="S36" s="23" t="s">
        <v>97</v>
      </c>
      <c r="T36" s="23" t="s">
        <v>98</v>
      </c>
      <c r="U36" s="30" t="s">
        <v>107</v>
      </c>
      <c r="V36" s="30" t="s">
        <v>130</v>
      </c>
      <c r="W36" s="5"/>
      <c r="X36" s="5" t="s">
        <v>99</v>
      </c>
      <c r="Y36" s="5"/>
      <c r="Z36" s="30"/>
      <c r="AA36" s="30"/>
      <c r="AB36" s="30"/>
      <c r="AC36" s="5" t="s">
        <v>105</v>
      </c>
      <c r="AD36" s="5"/>
      <c r="AE36" s="5"/>
      <c r="AF36" s="5"/>
      <c r="AG36" s="5"/>
      <c r="AH36" s="5"/>
      <c r="AI36" s="5"/>
      <c r="AJ36" s="5"/>
      <c r="AK36" s="5"/>
      <c r="AL36" s="5" t="s">
        <v>105</v>
      </c>
      <c r="AM36" s="5"/>
      <c r="AN36" s="5"/>
      <c r="AO36" s="30" t="s">
        <v>100</v>
      </c>
      <c r="AP36" s="5"/>
    </row>
    <row r="37" spans="1:42" ht="14.25" customHeight="1" x14ac:dyDescent="0.35">
      <c r="A37" s="29">
        <v>2021.6087</v>
      </c>
      <c r="B37" s="29" t="s">
        <v>172</v>
      </c>
      <c r="C37" s="21">
        <v>2021</v>
      </c>
      <c r="D37" s="65" t="s">
        <v>90</v>
      </c>
      <c r="E37" s="5"/>
      <c r="F37" s="5" t="b">
        <v>1</v>
      </c>
      <c r="G37" s="5"/>
      <c r="H37" s="5">
        <v>1</v>
      </c>
      <c r="I37" s="29" t="str">
        <f t="shared" si="0"/>
        <v>2021.6087.1</v>
      </c>
      <c r="J37" s="5" t="s">
        <v>121</v>
      </c>
      <c r="K37" s="30" t="s">
        <v>165</v>
      </c>
      <c r="L37" s="30"/>
      <c r="M37" s="30"/>
      <c r="N37" s="30"/>
      <c r="O37" s="30" t="s">
        <v>102</v>
      </c>
      <c r="P37" s="5" t="s">
        <v>103</v>
      </c>
      <c r="Q37" s="30" t="s">
        <v>122</v>
      </c>
      <c r="R37" s="30"/>
      <c r="S37" s="22" t="s">
        <v>97</v>
      </c>
      <c r="T37" s="22" t="s">
        <v>98</v>
      </c>
      <c r="U37" s="30" t="s">
        <v>107</v>
      </c>
      <c r="V37" s="30" t="s">
        <v>130</v>
      </c>
      <c r="W37" s="5"/>
      <c r="X37" s="5"/>
      <c r="Y37" s="5"/>
      <c r="Z37" s="30"/>
      <c r="AA37" s="30"/>
      <c r="AB37" s="30"/>
      <c r="AC37" s="5" t="s">
        <v>105</v>
      </c>
      <c r="AD37" s="5"/>
      <c r="AE37" s="5"/>
      <c r="AF37" s="5"/>
      <c r="AG37" s="5"/>
      <c r="AH37" s="5"/>
      <c r="AI37" s="5"/>
      <c r="AJ37" s="5"/>
      <c r="AK37" s="5"/>
      <c r="AL37" s="5" t="s">
        <v>105</v>
      </c>
      <c r="AM37" s="5"/>
      <c r="AN37" s="5"/>
      <c r="AO37" s="30" t="s">
        <v>173</v>
      </c>
      <c r="AP37" s="5"/>
    </row>
    <row r="38" spans="1:42" ht="14.25" customHeight="1" x14ac:dyDescent="0.35">
      <c r="A38" s="29"/>
      <c r="B38" s="29"/>
      <c r="C38" s="21"/>
      <c r="D38" s="5"/>
      <c r="E38" s="5"/>
      <c r="F38" s="5" t="b">
        <v>1</v>
      </c>
      <c r="G38" s="5"/>
      <c r="H38" s="5"/>
      <c r="I38" s="29" t="b">
        <f t="shared" si="0"/>
        <v>0</v>
      </c>
      <c r="J38" s="5"/>
      <c r="K38" s="30"/>
      <c r="L38" s="30"/>
      <c r="M38" s="30"/>
      <c r="N38" s="30"/>
      <c r="O38" s="30"/>
      <c r="P38" s="5"/>
      <c r="Q38" s="30"/>
      <c r="R38" s="30"/>
      <c r="S38" s="23"/>
      <c r="T38" s="23"/>
      <c r="U38" s="30"/>
      <c r="V38" s="30"/>
      <c r="W38" s="5"/>
      <c r="X38" s="5"/>
      <c r="Y38" s="5"/>
      <c r="Z38" s="30"/>
      <c r="AA38" s="30"/>
      <c r="AB38" s="30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30"/>
      <c r="AP38" s="5"/>
    </row>
    <row r="39" spans="1:42" ht="14.25" customHeight="1" x14ac:dyDescent="0.35">
      <c r="A39" s="29"/>
      <c r="B39" s="29"/>
      <c r="C39" s="21"/>
      <c r="D39" s="5"/>
      <c r="E39" s="5"/>
      <c r="F39" s="5" t="b">
        <v>1</v>
      </c>
      <c r="G39" s="5"/>
      <c r="H39" s="5"/>
      <c r="I39" s="29" t="b">
        <f t="shared" si="0"/>
        <v>0</v>
      </c>
      <c r="J39" s="5"/>
      <c r="K39" s="30"/>
      <c r="L39" s="30"/>
      <c r="M39" s="30"/>
      <c r="N39" s="30"/>
      <c r="O39" s="30"/>
      <c r="P39" s="5"/>
      <c r="Q39" s="30"/>
      <c r="R39" s="30"/>
      <c r="S39" s="22"/>
      <c r="T39" s="22"/>
      <c r="U39" s="30"/>
      <c r="V39" s="30"/>
      <c r="W39" s="5"/>
      <c r="X39" s="5"/>
      <c r="Y39" s="5"/>
      <c r="Z39" s="30"/>
      <c r="AA39" s="30"/>
      <c r="AB39" s="30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30"/>
      <c r="AP39" s="5"/>
    </row>
    <row r="40" spans="1:42" ht="14.25" customHeight="1" x14ac:dyDescent="0.35">
      <c r="A40" s="29"/>
      <c r="B40" s="29"/>
      <c r="C40" s="21"/>
      <c r="D40" s="5"/>
      <c r="E40" s="5"/>
      <c r="F40" s="5" t="b">
        <v>1</v>
      </c>
      <c r="G40" s="5"/>
      <c r="H40" s="5"/>
      <c r="I40" s="29" t="b">
        <f t="shared" si="0"/>
        <v>0</v>
      </c>
      <c r="J40" s="5"/>
      <c r="K40" s="30"/>
      <c r="L40" s="30"/>
      <c r="M40" s="30"/>
      <c r="N40" s="30"/>
      <c r="O40" s="30"/>
      <c r="P40" s="5"/>
      <c r="Q40" s="30"/>
      <c r="R40" s="30"/>
      <c r="S40" s="23"/>
      <c r="T40" s="23"/>
      <c r="U40" s="30"/>
      <c r="V40" s="30"/>
      <c r="W40" s="5"/>
      <c r="X40" s="5"/>
      <c r="Y40" s="5"/>
      <c r="Z40" s="30"/>
      <c r="AA40" s="30"/>
      <c r="AB40" s="30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30"/>
      <c r="AP40" s="5"/>
    </row>
    <row r="41" spans="1:42" ht="14.25" customHeight="1" x14ac:dyDescent="0.35">
      <c r="A41" s="29"/>
      <c r="B41" s="29"/>
      <c r="C41" s="21"/>
      <c r="D41" s="5"/>
      <c r="E41" s="5"/>
      <c r="F41" s="5" t="b">
        <v>1</v>
      </c>
      <c r="G41" s="5"/>
      <c r="H41" s="5"/>
      <c r="I41" s="29" t="b">
        <f t="shared" ref="I41:I58" si="5">IF(ISNUMBER(H41),CONCATENATE(A41, ".",H41))</f>
        <v>0</v>
      </c>
      <c r="J41" s="5"/>
      <c r="K41" s="30"/>
      <c r="L41" s="30"/>
      <c r="M41" s="30"/>
      <c r="N41" s="30"/>
      <c r="O41" s="30"/>
      <c r="P41" s="5"/>
      <c r="Q41" s="30"/>
      <c r="R41" s="30"/>
      <c r="S41" s="22"/>
      <c r="T41" s="22"/>
      <c r="U41" s="30"/>
      <c r="V41" s="30"/>
      <c r="W41" s="5"/>
      <c r="X41" s="5"/>
      <c r="Y41" s="5"/>
      <c r="Z41" s="30"/>
      <c r="AA41" s="30"/>
      <c r="AB41" s="30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30"/>
      <c r="AP41" s="5"/>
    </row>
    <row r="42" spans="1:42" ht="14.25" customHeight="1" x14ac:dyDescent="0.35">
      <c r="A42" s="29"/>
      <c r="B42" s="29"/>
      <c r="C42" s="21"/>
      <c r="D42" s="5"/>
      <c r="E42" s="5"/>
      <c r="F42" s="5" t="b">
        <v>1</v>
      </c>
      <c r="G42" s="5"/>
      <c r="H42" s="5"/>
      <c r="I42" s="29" t="b">
        <f t="shared" si="5"/>
        <v>0</v>
      </c>
      <c r="J42" s="5"/>
      <c r="K42" s="30"/>
      <c r="L42" s="30"/>
      <c r="M42" s="30"/>
      <c r="N42" s="30"/>
      <c r="O42" s="30"/>
      <c r="P42" s="5"/>
      <c r="Q42" s="30"/>
      <c r="R42" s="30"/>
      <c r="S42" s="23"/>
      <c r="T42" s="23"/>
      <c r="U42" s="30"/>
      <c r="V42" s="30"/>
      <c r="W42" s="5"/>
      <c r="X42" s="5"/>
      <c r="Y42" s="5"/>
      <c r="Z42" s="30"/>
      <c r="AA42" s="30"/>
      <c r="AB42" s="30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30"/>
      <c r="AP42" s="5"/>
    </row>
    <row r="43" spans="1:42" ht="14.25" customHeight="1" x14ac:dyDescent="0.35">
      <c r="A43" s="29"/>
      <c r="B43" s="29"/>
      <c r="C43" s="21"/>
      <c r="D43" s="5"/>
      <c r="E43" s="5"/>
      <c r="F43" s="5" t="b">
        <v>1</v>
      </c>
      <c r="G43" s="5"/>
      <c r="H43" s="5"/>
      <c r="I43" s="29" t="b">
        <f t="shared" si="5"/>
        <v>0</v>
      </c>
      <c r="J43" s="5"/>
      <c r="K43" s="30"/>
      <c r="L43" s="30"/>
      <c r="M43" s="30"/>
      <c r="N43" s="30"/>
      <c r="O43" s="30"/>
      <c r="P43" s="5"/>
      <c r="Q43" s="30"/>
      <c r="R43" s="30"/>
      <c r="S43" s="22"/>
      <c r="T43" s="22"/>
      <c r="U43" s="30"/>
      <c r="V43" s="30"/>
      <c r="W43" s="5"/>
      <c r="X43" s="5"/>
      <c r="Y43" s="5"/>
      <c r="Z43" s="30"/>
      <c r="AA43" s="30"/>
      <c r="AB43" s="30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30"/>
      <c r="AP43" s="5"/>
    </row>
    <row r="44" spans="1:42" ht="14.25" customHeight="1" x14ac:dyDescent="0.35">
      <c r="A44" s="29"/>
      <c r="B44" s="29"/>
      <c r="C44" s="21"/>
      <c r="D44" s="5"/>
      <c r="E44" s="5"/>
      <c r="F44" s="5" t="b">
        <v>1</v>
      </c>
      <c r="G44" s="5"/>
      <c r="H44" s="5"/>
      <c r="I44" s="29" t="b">
        <f t="shared" si="5"/>
        <v>0</v>
      </c>
      <c r="J44" s="5"/>
      <c r="K44" s="30"/>
      <c r="L44" s="30"/>
      <c r="M44" s="30"/>
      <c r="N44" s="30"/>
      <c r="O44" s="30"/>
      <c r="P44" s="5"/>
      <c r="Q44" s="30"/>
      <c r="R44" s="30"/>
      <c r="S44" s="23"/>
      <c r="T44" s="23"/>
      <c r="U44" s="30"/>
      <c r="V44" s="30"/>
      <c r="W44" s="5"/>
      <c r="X44" s="5"/>
      <c r="Y44" s="5"/>
      <c r="Z44" s="30"/>
      <c r="AA44" s="30"/>
      <c r="AB44" s="30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30"/>
      <c r="AP44" s="5"/>
    </row>
    <row r="45" spans="1:42" ht="14.25" customHeight="1" x14ac:dyDescent="0.35">
      <c r="A45" s="29"/>
      <c r="B45" s="29"/>
      <c r="C45" s="21"/>
      <c r="D45" s="5"/>
      <c r="E45" s="5"/>
      <c r="F45" s="5" t="b">
        <v>1</v>
      </c>
      <c r="G45" s="5"/>
      <c r="H45" s="5"/>
      <c r="I45" s="29" t="b">
        <f t="shared" si="5"/>
        <v>0</v>
      </c>
      <c r="J45" s="5"/>
      <c r="K45" s="30"/>
      <c r="L45" s="30"/>
      <c r="M45" s="30"/>
      <c r="N45" s="30"/>
      <c r="O45" s="30"/>
      <c r="P45" s="5"/>
      <c r="Q45" s="30"/>
      <c r="R45" s="30"/>
      <c r="S45" s="22"/>
      <c r="T45" s="22"/>
      <c r="U45" s="30"/>
      <c r="V45" s="30"/>
      <c r="W45" s="5"/>
      <c r="X45" s="5"/>
      <c r="Y45" s="5"/>
      <c r="Z45" s="30"/>
      <c r="AA45" s="30"/>
      <c r="AB45" s="30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30"/>
      <c r="AP45" s="5"/>
    </row>
    <row r="46" spans="1:42" ht="14.25" customHeight="1" x14ac:dyDescent="0.35">
      <c r="A46" s="29"/>
      <c r="B46" s="29"/>
      <c r="C46" s="21"/>
      <c r="D46" s="5"/>
      <c r="E46" s="5"/>
      <c r="F46" s="5" t="b">
        <v>1</v>
      </c>
      <c r="G46" s="5"/>
      <c r="H46" s="5"/>
      <c r="I46" s="29" t="b">
        <f t="shared" si="5"/>
        <v>0</v>
      </c>
      <c r="J46" s="5"/>
      <c r="K46" s="30"/>
      <c r="L46" s="30"/>
      <c r="M46" s="30"/>
      <c r="N46" s="30"/>
      <c r="O46" s="30"/>
      <c r="P46" s="5"/>
      <c r="Q46" s="30"/>
      <c r="R46" s="30"/>
      <c r="S46" s="23"/>
      <c r="T46" s="23"/>
      <c r="U46" s="30"/>
      <c r="V46" s="30"/>
      <c r="W46" s="5"/>
      <c r="X46" s="5"/>
      <c r="Y46" s="5"/>
      <c r="Z46" s="30"/>
      <c r="AA46" s="30"/>
      <c r="AB46" s="30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30"/>
      <c r="AP46" s="5"/>
    </row>
    <row r="47" spans="1:42" ht="14.25" customHeight="1" x14ac:dyDescent="0.35">
      <c r="A47" s="29"/>
      <c r="B47" s="29"/>
      <c r="C47" s="21"/>
      <c r="D47" s="5"/>
      <c r="E47" s="5"/>
      <c r="F47" s="5" t="b">
        <v>1</v>
      </c>
      <c r="G47" s="5"/>
      <c r="H47" s="5"/>
      <c r="I47" s="29" t="b">
        <f t="shared" si="5"/>
        <v>0</v>
      </c>
      <c r="J47" s="5"/>
      <c r="K47" s="30"/>
      <c r="L47" s="30"/>
      <c r="M47" s="30"/>
      <c r="N47" s="30"/>
      <c r="O47" s="30"/>
      <c r="P47" s="5"/>
      <c r="Q47" s="30"/>
      <c r="R47" s="30"/>
      <c r="S47" s="22"/>
      <c r="T47" s="22"/>
      <c r="U47" s="30"/>
      <c r="V47" s="30"/>
      <c r="W47" s="5"/>
      <c r="X47" s="5"/>
      <c r="Y47" s="5"/>
      <c r="Z47" s="30"/>
      <c r="AA47" s="30"/>
      <c r="AB47" s="30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30"/>
      <c r="AP47" s="5"/>
    </row>
    <row r="48" spans="1:42" ht="14.25" customHeight="1" x14ac:dyDescent="0.35">
      <c r="A48" s="29"/>
      <c r="B48" s="29"/>
      <c r="C48" s="21"/>
      <c r="D48" s="5"/>
      <c r="E48" s="5"/>
      <c r="F48" s="5" t="b">
        <v>1</v>
      </c>
      <c r="G48" s="5"/>
      <c r="H48" s="5"/>
      <c r="I48" s="29" t="b">
        <f t="shared" si="5"/>
        <v>0</v>
      </c>
      <c r="J48" s="5"/>
      <c r="K48" s="30"/>
      <c r="L48" s="30"/>
      <c r="M48" s="30"/>
      <c r="N48" s="30"/>
      <c r="O48" s="30"/>
      <c r="P48" s="5"/>
      <c r="Q48" s="30"/>
      <c r="R48" s="30"/>
      <c r="S48" s="23"/>
      <c r="T48" s="23"/>
      <c r="U48" s="30"/>
      <c r="V48" s="30"/>
      <c r="W48" s="5"/>
      <c r="X48" s="5"/>
      <c r="Y48" s="5"/>
      <c r="Z48" s="30"/>
      <c r="AA48" s="30"/>
      <c r="AB48" s="30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30"/>
      <c r="AP48" s="5"/>
    </row>
    <row r="49" spans="1:42" ht="14.25" customHeight="1" x14ac:dyDescent="0.35">
      <c r="A49" s="29"/>
      <c r="B49" s="29"/>
      <c r="C49" s="21"/>
      <c r="D49" s="5"/>
      <c r="E49" s="5"/>
      <c r="F49" s="5" t="b">
        <v>1</v>
      </c>
      <c r="G49" s="5"/>
      <c r="H49" s="5"/>
      <c r="I49" s="29" t="b">
        <f t="shared" si="5"/>
        <v>0</v>
      </c>
      <c r="J49" s="5"/>
      <c r="K49" s="30"/>
      <c r="L49" s="30"/>
      <c r="M49" s="30"/>
      <c r="N49" s="30"/>
      <c r="O49" s="30"/>
      <c r="P49" s="5"/>
      <c r="Q49" s="30"/>
      <c r="R49" s="30"/>
      <c r="S49" s="23"/>
      <c r="T49" s="23"/>
      <c r="U49" s="30"/>
      <c r="V49" s="30"/>
      <c r="W49" s="5"/>
      <c r="X49" s="5"/>
      <c r="Y49" s="5"/>
      <c r="Z49" s="30"/>
      <c r="AA49" s="30"/>
      <c r="AB49" s="30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30"/>
      <c r="AP49" s="5"/>
    </row>
    <row r="50" spans="1:42" ht="14.25" customHeight="1" x14ac:dyDescent="0.35">
      <c r="A50" s="29"/>
      <c r="B50" s="29"/>
      <c r="C50" s="21"/>
      <c r="D50" s="5"/>
      <c r="E50" s="5"/>
      <c r="F50" s="5" t="b">
        <v>1</v>
      </c>
      <c r="G50" s="5"/>
      <c r="H50" s="5"/>
      <c r="I50" s="29" t="b">
        <f t="shared" si="5"/>
        <v>0</v>
      </c>
      <c r="J50" s="5"/>
      <c r="K50" s="30"/>
      <c r="L50" s="30"/>
      <c r="M50" s="30"/>
      <c r="N50" s="30"/>
      <c r="O50" s="30"/>
      <c r="P50" s="5"/>
      <c r="Q50" s="30"/>
      <c r="R50" s="30"/>
      <c r="S50" s="23"/>
      <c r="T50" s="23"/>
      <c r="U50" s="30"/>
      <c r="V50" s="30"/>
      <c r="W50" s="5"/>
      <c r="X50" s="5"/>
      <c r="Y50" s="5"/>
      <c r="Z50" s="30"/>
      <c r="AA50" s="30"/>
      <c r="AB50" s="30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30"/>
      <c r="AP50" s="5"/>
    </row>
    <row r="51" spans="1:42" ht="14.25" customHeight="1" x14ac:dyDescent="0.35">
      <c r="A51" s="29"/>
      <c r="B51" s="29"/>
      <c r="C51" s="21"/>
      <c r="D51" s="5"/>
      <c r="E51" s="5"/>
      <c r="F51" s="5" t="b">
        <v>1</v>
      </c>
      <c r="G51" s="5"/>
      <c r="H51" s="5"/>
      <c r="I51" s="29" t="b">
        <f t="shared" si="5"/>
        <v>0</v>
      </c>
      <c r="J51" s="5"/>
      <c r="K51" s="30"/>
      <c r="L51" s="30"/>
      <c r="M51" s="30"/>
      <c r="N51" s="30"/>
      <c r="O51" s="30"/>
      <c r="P51" s="5"/>
      <c r="Q51" s="30"/>
      <c r="R51" s="30"/>
      <c r="S51" s="23"/>
      <c r="T51" s="23"/>
      <c r="U51" s="30"/>
      <c r="V51" s="30"/>
      <c r="W51" s="5"/>
      <c r="X51" s="5"/>
      <c r="Y51" s="5"/>
      <c r="Z51" s="30"/>
      <c r="AA51" s="30"/>
      <c r="AB51" s="30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30"/>
      <c r="AP51" s="5"/>
    </row>
    <row r="52" spans="1:42" ht="14.25" customHeight="1" x14ac:dyDescent="0.35">
      <c r="A52" s="29"/>
      <c r="B52" s="29"/>
      <c r="C52" s="21"/>
      <c r="D52" s="5"/>
      <c r="E52" s="5"/>
      <c r="F52" s="5" t="b">
        <v>1</v>
      </c>
      <c r="G52" s="5"/>
      <c r="H52" s="5"/>
      <c r="I52" s="29" t="b">
        <f t="shared" si="5"/>
        <v>0</v>
      </c>
      <c r="J52" s="5"/>
      <c r="K52" s="30"/>
      <c r="L52" s="30"/>
      <c r="M52" s="30"/>
      <c r="N52" s="30"/>
      <c r="O52" s="30"/>
      <c r="P52" s="5"/>
      <c r="Q52" s="30"/>
      <c r="R52" s="30"/>
      <c r="S52" s="23"/>
      <c r="T52" s="23"/>
      <c r="U52" s="30"/>
      <c r="V52" s="30"/>
      <c r="W52" s="5"/>
      <c r="X52" s="5"/>
      <c r="Y52" s="5"/>
      <c r="Z52" s="30"/>
      <c r="AA52" s="30"/>
      <c r="AB52" s="30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30"/>
      <c r="AP52" s="5"/>
    </row>
    <row r="53" spans="1:42" ht="14.25" customHeight="1" x14ac:dyDescent="0.35">
      <c r="A53" s="29"/>
      <c r="B53" s="29"/>
      <c r="C53" s="21"/>
      <c r="D53" s="5"/>
      <c r="E53" s="5"/>
      <c r="F53" s="5" t="b">
        <v>1</v>
      </c>
      <c r="G53" s="5"/>
      <c r="H53" s="5"/>
      <c r="I53" s="29" t="b">
        <f t="shared" si="5"/>
        <v>0</v>
      </c>
      <c r="J53" s="5"/>
      <c r="K53" s="30"/>
      <c r="L53" s="30"/>
      <c r="M53" s="30"/>
      <c r="N53" s="30"/>
      <c r="O53" s="30"/>
      <c r="P53" s="5"/>
      <c r="Q53" s="30"/>
      <c r="R53" s="30"/>
      <c r="S53" s="23"/>
      <c r="T53" s="23"/>
      <c r="U53" s="30"/>
      <c r="V53" s="30"/>
      <c r="W53" s="5"/>
      <c r="X53" s="5"/>
      <c r="Y53" s="5"/>
      <c r="Z53" s="30"/>
      <c r="AA53" s="30"/>
      <c r="AB53" s="30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30"/>
      <c r="AP53" s="5"/>
    </row>
    <row r="54" spans="1:42" ht="14.25" customHeight="1" x14ac:dyDescent="0.35">
      <c r="A54" s="29"/>
      <c r="B54" s="29"/>
      <c r="C54" s="21"/>
      <c r="D54" s="5"/>
      <c r="E54" s="5"/>
      <c r="F54" s="5" t="b">
        <v>1</v>
      </c>
      <c r="G54" s="5"/>
      <c r="H54" s="5"/>
      <c r="I54" s="29" t="b">
        <f t="shared" si="5"/>
        <v>0</v>
      </c>
      <c r="J54" s="5"/>
      <c r="K54" s="30"/>
      <c r="L54" s="30"/>
      <c r="M54" s="30"/>
      <c r="N54" s="30"/>
      <c r="O54" s="30"/>
      <c r="P54" s="5"/>
      <c r="Q54" s="30"/>
      <c r="R54" s="30"/>
      <c r="S54" s="23"/>
      <c r="T54" s="23"/>
      <c r="U54" s="30"/>
      <c r="V54" s="30"/>
      <c r="W54" s="5"/>
      <c r="X54" s="5"/>
      <c r="Y54" s="5"/>
      <c r="Z54" s="30"/>
      <c r="AA54" s="30"/>
      <c r="AB54" s="30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30"/>
      <c r="AP54" s="5"/>
    </row>
    <row r="55" spans="1:42" ht="14.25" customHeight="1" x14ac:dyDescent="0.35">
      <c r="A55" s="29"/>
      <c r="B55" s="29"/>
      <c r="C55" s="21"/>
      <c r="D55" s="5"/>
      <c r="E55" s="5"/>
      <c r="F55" s="5" t="b">
        <v>1</v>
      </c>
      <c r="G55" s="5"/>
      <c r="H55" s="5"/>
      <c r="I55" s="29" t="b">
        <f t="shared" si="5"/>
        <v>0</v>
      </c>
      <c r="J55" s="5"/>
      <c r="K55" s="30"/>
      <c r="L55" s="30"/>
      <c r="M55" s="30"/>
      <c r="N55" s="30"/>
      <c r="O55" s="30"/>
      <c r="P55" s="5"/>
      <c r="Q55" s="30"/>
      <c r="R55" s="30"/>
      <c r="S55" s="22"/>
      <c r="T55" s="22"/>
      <c r="U55" s="30"/>
      <c r="V55" s="30"/>
      <c r="W55" s="5"/>
      <c r="X55" s="5"/>
      <c r="Y55" s="5"/>
      <c r="Z55" s="30"/>
      <c r="AA55" s="30"/>
      <c r="AB55" s="30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30"/>
      <c r="AP55" s="5"/>
    </row>
    <row r="56" spans="1:42" ht="14.25" customHeight="1" x14ac:dyDescent="0.35">
      <c r="A56" s="29"/>
      <c r="B56" s="29"/>
      <c r="C56" s="21"/>
      <c r="D56" s="5"/>
      <c r="E56" s="5"/>
      <c r="F56" s="5" t="b">
        <v>1</v>
      </c>
      <c r="G56" s="5"/>
      <c r="H56" s="5"/>
      <c r="I56" s="29" t="b">
        <f t="shared" si="5"/>
        <v>0</v>
      </c>
      <c r="J56" s="5"/>
      <c r="K56" s="30"/>
      <c r="L56" s="30"/>
      <c r="M56" s="30"/>
      <c r="N56" s="30"/>
      <c r="O56" s="30"/>
      <c r="P56" s="5"/>
      <c r="Q56" s="30"/>
      <c r="R56" s="30"/>
      <c r="S56" s="23"/>
      <c r="T56" s="23"/>
      <c r="U56" s="30"/>
      <c r="V56" s="30"/>
      <c r="W56" s="5"/>
      <c r="X56" s="5"/>
      <c r="Y56" s="5"/>
      <c r="Z56" s="30"/>
      <c r="AA56" s="30"/>
      <c r="AB56" s="30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30"/>
      <c r="AP56" s="5"/>
    </row>
    <row r="57" spans="1:42" ht="14.25" customHeight="1" x14ac:dyDescent="0.35">
      <c r="A57" s="29"/>
      <c r="B57" s="29"/>
      <c r="C57" s="21"/>
      <c r="D57" s="5"/>
      <c r="E57" s="5"/>
      <c r="F57" s="5" t="b">
        <v>1</v>
      </c>
      <c r="G57" s="5"/>
      <c r="H57" s="5"/>
      <c r="I57" s="29" t="b">
        <f t="shared" si="5"/>
        <v>0</v>
      </c>
      <c r="J57" s="5"/>
      <c r="K57" s="30"/>
      <c r="L57" s="30"/>
      <c r="M57" s="30"/>
      <c r="N57" s="30"/>
      <c r="O57" s="30"/>
      <c r="P57" s="5"/>
      <c r="Q57" s="30"/>
      <c r="R57" s="30"/>
      <c r="S57" s="22"/>
      <c r="T57" s="22"/>
      <c r="U57" s="30"/>
      <c r="V57" s="30"/>
      <c r="W57" s="5"/>
      <c r="X57" s="5"/>
      <c r="Y57" s="5"/>
      <c r="Z57" s="30"/>
      <c r="AA57" s="30"/>
      <c r="AB57" s="30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30"/>
      <c r="AP57" s="5"/>
    </row>
    <row r="58" spans="1:42" ht="14.25" customHeight="1" x14ac:dyDescent="0.35">
      <c r="A58" s="29"/>
      <c r="B58" s="29"/>
      <c r="C58" s="21"/>
      <c r="D58" s="5"/>
      <c r="E58" s="5"/>
      <c r="F58" s="5" t="b">
        <v>1</v>
      </c>
      <c r="G58" s="5"/>
      <c r="H58" s="5"/>
      <c r="I58" s="29" t="b">
        <f t="shared" si="5"/>
        <v>0</v>
      </c>
      <c r="J58" s="5"/>
      <c r="K58" s="30"/>
      <c r="L58" s="30"/>
      <c r="M58" s="30"/>
      <c r="N58" s="30"/>
      <c r="O58" s="30"/>
      <c r="P58" s="5"/>
      <c r="Q58" s="30"/>
      <c r="R58" s="30"/>
      <c r="S58" s="23"/>
      <c r="T58" s="23"/>
      <c r="U58" s="30"/>
      <c r="V58" s="30"/>
      <c r="W58" s="5"/>
      <c r="X58" s="5"/>
      <c r="Y58" s="5"/>
      <c r="Z58" s="30"/>
      <c r="AA58" s="30"/>
      <c r="AB58" s="30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30"/>
      <c r="AP58" s="5"/>
    </row>
    <row r="59" spans="1:42" ht="14.25" customHeight="1" x14ac:dyDescent="0.35">
      <c r="T59" s="5"/>
      <c r="U59" s="5"/>
    </row>
    <row r="60" spans="1:42" ht="14.25" customHeight="1" x14ac:dyDescent="0.35">
      <c r="T60" s="5"/>
      <c r="U60" s="5"/>
    </row>
    <row r="61" spans="1:42" ht="14.25" customHeight="1" x14ac:dyDescent="0.35">
      <c r="T61" s="5"/>
      <c r="U61" s="5"/>
    </row>
    <row r="62" spans="1:42" ht="14.25" customHeight="1" x14ac:dyDescent="0.35">
      <c r="T62" s="5"/>
      <c r="U62" s="5"/>
    </row>
    <row r="63" spans="1:42" ht="14.25" customHeight="1" x14ac:dyDescent="0.35">
      <c r="T63" s="5"/>
      <c r="U63" s="5"/>
    </row>
    <row r="64" spans="1:42" ht="14.25" customHeight="1" x14ac:dyDescent="0.35">
      <c r="T64" s="5"/>
      <c r="U64" s="5"/>
    </row>
    <row r="65" spans="20:21" ht="14.25" customHeight="1" x14ac:dyDescent="0.35">
      <c r="T65" s="5"/>
      <c r="U65" s="5"/>
    </row>
    <row r="66" spans="20:21" ht="14.25" customHeight="1" x14ac:dyDescent="0.35">
      <c r="T66" s="5"/>
      <c r="U66" s="5"/>
    </row>
    <row r="67" spans="20:21" ht="14.25" customHeight="1" x14ac:dyDescent="0.35">
      <c r="T67" s="5"/>
      <c r="U67" s="5"/>
    </row>
    <row r="68" spans="20:21" ht="14.25" customHeight="1" x14ac:dyDescent="0.35">
      <c r="T68" s="5"/>
      <c r="U68" s="5"/>
    </row>
    <row r="69" spans="20:21" ht="14.25" customHeight="1" x14ac:dyDescent="0.35">
      <c r="T69" s="5"/>
      <c r="U69" s="5"/>
    </row>
    <row r="70" spans="20:21" ht="14.25" customHeight="1" x14ac:dyDescent="0.35">
      <c r="T70" s="5"/>
      <c r="U70" s="5"/>
    </row>
    <row r="71" spans="20:21" ht="14.25" customHeight="1" x14ac:dyDescent="0.35">
      <c r="T71" s="5"/>
      <c r="U71" s="5"/>
    </row>
    <row r="72" spans="20:21" ht="14.25" customHeight="1" x14ac:dyDescent="0.35">
      <c r="T72" s="5"/>
      <c r="U72" s="5"/>
    </row>
    <row r="73" spans="20:21" ht="14.25" customHeight="1" x14ac:dyDescent="0.35">
      <c r="T73" s="5"/>
      <c r="U73" s="5"/>
    </row>
    <row r="74" spans="20:21" ht="14.25" customHeight="1" x14ac:dyDescent="0.35">
      <c r="T74" s="5"/>
      <c r="U74" s="5"/>
    </row>
    <row r="75" spans="20:21" ht="14.25" customHeight="1" x14ac:dyDescent="0.35">
      <c r="T75" s="5"/>
      <c r="U75" s="5"/>
    </row>
    <row r="76" spans="20:21" ht="14.25" customHeight="1" x14ac:dyDescent="0.35">
      <c r="T76" s="5"/>
      <c r="U76" s="5"/>
    </row>
    <row r="77" spans="20:21" ht="14.25" customHeight="1" x14ac:dyDescent="0.35">
      <c r="T77" s="5"/>
      <c r="U77" s="5"/>
    </row>
    <row r="78" spans="20:21" ht="14.25" customHeight="1" x14ac:dyDescent="0.35">
      <c r="T78" s="5"/>
      <c r="U78" s="5"/>
    </row>
    <row r="79" spans="20:21" ht="14.25" customHeight="1" x14ac:dyDescent="0.35">
      <c r="T79" s="5"/>
      <c r="U79" s="5"/>
    </row>
    <row r="80" spans="20:21" ht="14.25" customHeight="1" x14ac:dyDescent="0.35">
      <c r="T80" s="5"/>
      <c r="U80" s="5"/>
    </row>
    <row r="81" spans="20:21" ht="14.25" customHeight="1" x14ac:dyDescent="0.35">
      <c r="T81" s="5"/>
      <c r="U81" s="5"/>
    </row>
    <row r="82" spans="20:21" ht="14.25" customHeight="1" x14ac:dyDescent="0.35">
      <c r="T82" s="5"/>
      <c r="U82" s="5"/>
    </row>
    <row r="83" spans="20:21" ht="14.25" customHeight="1" x14ac:dyDescent="0.35">
      <c r="T83" s="5"/>
      <c r="U83" s="5"/>
    </row>
    <row r="84" spans="20:21" ht="14.25" customHeight="1" x14ac:dyDescent="0.35">
      <c r="T84" s="5"/>
      <c r="U84" s="5"/>
    </row>
    <row r="85" spans="20:21" ht="14.25" customHeight="1" x14ac:dyDescent="0.35">
      <c r="T85" s="5"/>
      <c r="U85" s="5"/>
    </row>
    <row r="86" spans="20:21" ht="14.25" customHeight="1" x14ac:dyDescent="0.35">
      <c r="T86" s="5"/>
      <c r="U86" s="5"/>
    </row>
    <row r="87" spans="20:21" ht="14.25" customHeight="1" x14ac:dyDescent="0.35">
      <c r="T87" s="5"/>
      <c r="U87" s="5"/>
    </row>
    <row r="88" spans="20:21" ht="14.25" customHeight="1" x14ac:dyDescent="0.35">
      <c r="T88" s="5"/>
      <c r="U88" s="5"/>
    </row>
    <row r="89" spans="20:21" ht="14.25" customHeight="1" x14ac:dyDescent="0.35">
      <c r="T89" s="5"/>
      <c r="U89" s="5"/>
    </row>
    <row r="90" spans="20:21" ht="14.25" customHeight="1" x14ac:dyDescent="0.35">
      <c r="T90" s="5"/>
      <c r="U90" s="5"/>
    </row>
    <row r="91" spans="20:21" ht="14.25" customHeight="1" x14ac:dyDescent="0.35">
      <c r="T91" s="5"/>
      <c r="U91" s="5"/>
    </row>
    <row r="92" spans="20:21" ht="14.25" customHeight="1" x14ac:dyDescent="0.35">
      <c r="T92" s="5"/>
      <c r="U92" s="5"/>
    </row>
    <row r="93" spans="20:21" ht="14.25" customHeight="1" x14ac:dyDescent="0.35">
      <c r="T93" s="5"/>
      <c r="U93" s="5"/>
    </row>
    <row r="94" spans="20:21" ht="14.25" customHeight="1" x14ac:dyDescent="0.35">
      <c r="T94" s="5"/>
      <c r="U94" s="5"/>
    </row>
    <row r="95" spans="20:21" ht="14.25" customHeight="1" x14ac:dyDescent="0.35">
      <c r="T95" s="5"/>
      <c r="U95" s="5"/>
    </row>
    <row r="96" spans="20:21" ht="14.25" customHeight="1" x14ac:dyDescent="0.35">
      <c r="T96" s="5"/>
      <c r="U96" s="5"/>
    </row>
    <row r="97" spans="20:21" ht="14.25" customHeight="1" x14ac:dyDescent="0.35">
      <c r="T97" s="5"/>
      <c r="U97" s="5"/>
    </row>
    <row r="98" spans="20:21" ht="14.25" customHeight="1" x14ac:dyDescent="0.35">
      <c r="T98" s="5"/>
      <c r="U98" s="5"/>
    </row>
    <row r="99" spans="20:21" ht="14.25" customHeight="1" x14ac:dyDescent="0.35">
      <c r="T99" s="5"/>
      <c r="U99" s="5"/>
    </row>
    <row r="100" spans="20:21" ht="14.25" customHeight="1" x14ac:dyDescent="0.35">
      <c r="T100" s="5"/>
      <c r="U100" s="5"/>
    </row>
    <row r="101" spans="20:21" ht="14.25" customHeight="1" x14ac:dyDescent="0.35">
      <c r="T101" s="5"/>
      <c r="U101" s="5"/>
    </row>
    <row r="102" spans="20:21" ht="14.25" customHeight="1" x14ac:dyDescent="0.35">
      <c r="T102" s="5"/>
      <c r="U102" s="5"/>
    </row>
    <row r="103" spans="20:21" ht="14.25" customHeight="1" x14ac:dyDescent="0.35">
      <c r="T103" s="5"/>
      <c r="U103" s="5"/>
    </row>
    <row r="104" spans="20:21" ht="14.25" customHeight="1" x14ac:dyDescent="0.35">
      <c r="T104" s="5"/>
      <c r="U104" s="5"/>
    </row>
    <row r="105" spans="20:21" ht="14.25" customHeight="1" x14ac:dyDescent="0.35">
      <c r="T105" s="5"/>
      <c r="U105" s="5"/>
    </row>
    <row r="106" spans="20:21" ht="14.25" customHeight="1" x14ac:dyDescent="0.35">
      <c r="T106" s="5"/>
      <c r="U106" s="5"/>
    </row>
    <row r="107" spans="20:21" ht="14.25" customHeight="1" x14ac:dyDescent="0.35">
      <c r="T107" s="5"/>
      <c r="U107" s="5"/>
    </row>
    <row r="108" spans="20:21" ht="14.25" customHeight="1" x14ac:dyDescent="0.35">
      <c r="T108" s="5"/>
      <c r="U108" s="5"/>
    </row>
    <row r="109" spans="20:21" ht="14.25" customHeight="1" x14ac:dyDescent="0.35">
      <c r="T109" s="5"/>
      <c r="U109" s="5"/>
    </row>
    <row r="110" spans="20:21" ht="14.25" customHeight="1" x14ac:dyDescent="0.35">
      <c r="T110" s="5"/>
      <c r="U110" s="5"/>
    </row>
    <row r="111" spans="20:21" ht="14.25" customHeight="1" x14ac:dyDescent="0.35">
      <c r="T111" s="5"/>
      <c r="U111" s="5"/>
    </row>
    <row r="112" spans="20:21" ht="14.25" customHeight="1" x14ac:dyDescent="0.35">
      <c r="T112" s="5"/>
      <c r="U112" s="5"/>
    </row>
    <row r="113" spans="20:21" ht="14.25" customHeight="1" x14ac:dyDescent="0.35">
      <c r="T113" s="5"/>
      <c r="U113" s="5"/>
    </row>
    <row r="114" spans="20:21" ht="14.25" customHeight="1" x14ac:dyDescent="0.35">
      <c r="T114" s="5"/>
      <c r="U114" s="5"/>
    </row>
    <row r="115" spans="20:21" ht="14.25" customHeight="1" x14ac:dyDescent="0.35">
      <c r="T115" s="5"/>
      <c r="U115" s="5"/>
    </row>
    <row r="116" spans="20:21" ht="14.25" customHeight="1" x14ac:dyDescent="0.35">
      <c r="T116" s="5"/>
      <c r="U116" s="5"/>
    </row>
    <row r="117" spans="20:21" ht="14.25" customHeight="1" x14ac:dyDescent="0.35">
      <c r="T117" s="5"/>
      <c r="U117" s="5"/>
    </row>
    <row r="118" spans="20:21" ht="14.25" customHeight="1" x14ac:dyDescent="0.35">
      <c r="T118" s="5"/>
      <c r="U118" s="5"/>
    </row>
    <row r="119" spans="20:21" ht="14.25" customHeight="1" x14ac:dyDescent="0.35">
      <c r="T119" s="5"/>
      <c r="U119" s="5"/>
    </row>
    <row r="120" spans="20:21" ht="14.25" customHeight="1" x14ac:dyDescent="0.35">
      <c r="T120" s="5"/>
      <c r="U120" s="5"/>
    </row>
    <row r="121" spans="20:21" ht="14.25" customHeight="1" x14ac:dyDescent="0.35">
      <c r="T121" s="5"/>
      <c r="U121" s="5"/>
    </row>
    <row r="122" spans="20:21" ht="14.25" customHeight="1" x14ac:dyDescent="0.35">
      <c r="T122" s="5"/>
      <c r="U122" s="5"/>
    </row>
    <row r="123" spans="20:21" ht="14.25" customHeight="1" x14ac:dyDescent="0.35">
      <c r="T123" s="5"/>
      <c r="U123" s="5"/>
    </row>
    <row r="124" spans="20:21" ht="14.25" customHeight="1" x14ac:dyDescent="0.35">
      <c r="T124" s="5"/>
      <c r="U124" s="5"/>
    </row>
    <row r="125" spans="20:21" ht="14.25" customHeight="1" x14ac:dyDescent="0.35">
      <c r="T125" s="5"/>
      <c r="U125" s="5"/>
    </row>
    <row r="126" spans="20:21" ht="14.25" customHeight="1" x14ac:dyDescent="0.35">
      <c r="T126" s="5"/>
      <c r="U126" s="5"/>
    </row>
    <row r="127" spans="20:21" ht="14.25" customHeight="1" x14ac:dyDescent="0.35">
      <c r="T127" s="5"/>
      <c r="U127" s="5"/>
    </row>
    <row r="128" spans="20:21" ht="14.25" customHeight="1" x14ac:dyDescent="0.35">
      <c r="T128" s="5"/>
      <c r="U128" s="5"/>
    </row>
    <row r="129" spans="20:21" ht="14.25" customHeight="1" x14ac:dyDescent="0.35">
      <c r="T129" s="5"/>
      <c r="U129" s="5"/>
    </row>
    <row r="130" spans="20:21" ht="14.25" customHeight="1" x14ac:dyDescent="0.35">
      <c r="T130" s="5"/>
      <c r="U130" s="5"/>
    </row>
    <row r="131" spans="20:21" ht="14.25" customHeight="1" x14ac:dyDescent="0.35">
      <c r="T131" s="5"/>
      <c r="U131" s="5"/>
    </row>
    <row r="132" spans="20:21" ht="14.25" customHeight="1" x14ac:dyDescent="0.35">
      <c r="T132" s="5"/>
      <c r="U132" s="5"/>
    </row>
    <row r="133" spans="20:21" ht="14.25" customHeight="1" x14ac:dyDescent="0.35">
      <c r="T133" s="5"/>
      <c r="U133" s="5"/>
    </row>
    <row r="134" spans="20:21" ht="14.25" customHeight="1" x14ac:dyDescent="0.35">
      <c r="T134" s="5"/>
      <c r="U134" s="5"/>
    </row>
    <row r="135" spans="20:21" ht="14.25" customHeight="1" x14ac:dyDescent="0.35">
      <c r="T135" s="5"/>
      <c r="U135" s="5"/>
    </row>
    <row r="136" spans="20:21" ht="14.25" customHeight="1" x14ac:dyDescent="0.35">
      <c r="T136" s="5"/>
      <c r="U136" s="5"/>
    </row>
    <row r="137" spans="20:21" ht="14.25" customHeight="1" x14ac:dyDescent="0.35">
      <c r="T137" s="5"/>
      <c r="U137" s="5"/>
    </row>
    <row r="138" spans="20:21" ht="14.25" customHeight="1" x14ac:dyDescent="0.35">
      <c r="T138" s="5"/>
      <c r="U138" s="5"/>
    </row>
    <row r="139" spans="20:21" ht="14.25" customHeight="1" x14ac:dyDescent="0.35">
      <c r="T139" s="5"/>
      <c r="U139" s="5"/>
    </row>
    <row r="140" spans="20:21" ht="14.25" customHeight="1" x14ac:dyDescent="0.35">
      <c r="T140" s="5"/>
      <c r="U140" s="5"/>
    </row>
    <row r="141" spans="20:21" ht="14.25" customHeight="1" x14ac:dyDescent="0.35">
      <c r="T141" s="5"/>
      <c r="U141" s="5"/>
    </row>
    <row r="142" spans="20:21" ht="14.25" customHeight="1" x14ac:dyDescent="0.35">
      <c r="T142" s="5"/>
      <c r="U142" s="5"/>
    </row>
    <row r="143" spans="20:21" ht="14.25" customHeight="1" x14ac:dyDescent="0.35">
      <c r="T143" s="5"/>
      <c r="U143" s="5"/>
    </row>
    <row r="144" spans="20:21" ht="14.25" customHeight="1" x14ac:dyDescent="0.35">
      <c r="T144" s="5"/>
      <c r="U144" s="5"/>
    </row>
    <row r="145" spans="20:21" ht="14.25" customHeight="1" x14ac:dyDescent="0.35">
      <c r="T145" s="5"/>
      <c r="U145" s="5"/>
    </row>
    <row r="146" spans="20:21" ht="14.25" customHeight="1" x14ac:dyDescent="0.35">
      <c r="T146" s="5"/>
      <c r="U146" s="5"/>
    </row>
    <row r="147" spans="20:21" ht="14.25" customHeight="1" x14ac:dyDescent="0.35">
      <c r="T147" s="5"/>
      <c r="U147" s="5"/>
    </row>
    <row r="148" spans="20:21" ht="14.25" customHeight="1" x14ac:dyDescent="0.35">
      <c r="T148" s="5"/>
      <c r="U148" s="5"/>
    </row>
    <row r="149" spans="20:21" ht="14.25" customHeight="1" x14ac:dyDescent="0.35">
      <c r="T149" s="5"/>
      <c r="U149" s="5"/>
    </row>
    <row r="150" spans="20:21" ht="14.25" customHeight="1" x14ac:dyDescent="0.35">
      <c r="T150" s="5"/>
      <c r="U150" s="5"/>
    </row>
    <row r="151" spans="20:21" ht="14.25" customHeight="1" x14ac:dyDescent="0.35">
      <c r="T151" s="5"/>
      <c r="U151" s="5"/>
    </row>
    <row r="152" spans="20:21" ht="14.25" customHeight="1" x14ac:dyDescent="0.35">
      <c r="T152" s="5"/>
      <c r="U152" s="5"/>
    </row>
    <row r="153" spans="20:21" ht="14.25" customHeight="1" x14ac:dyDescent="0.35">
      <c r="T153" s="5"/>
      <c r="U153" s="5"/>
    </row>
    <row r="154" spans="20:21" ht="14.25" customHeight="1" x14ac:dyDescent="0.35">
      <c r="T154" s="5"/>
      <c r="U154" s="5"/>
    </row>
    <row r="155" spans="20:21" ht="14.25" customHeight="1" x14ac:dyDescent="0.35">
      <c r="T155" s="5"/>
      <c r="U155" s="5"/>
    </row>
    <row r="156" spans="20:21" ht="14.25" customHeight="1" x14ac:dyDescent="0.35">
      <c r="T156" s="5"/>
      <c r="U156" s="5"/>
    </row>
    <row r="157" spans="20:21" ht="14.25" customHeight="1" x14ac:dyDescent="0.35">
      <c r="T157" s="5"/>
      <c r="U157" s="5"/>
    </row>
    <row r="158" spans="20:21" ht="14.25" customHeight="1" x14ac:dyDescent="0.35">
      <c r="T158" s="5"/>
      <c r="U158" s="5"/>
    </row>
    <row r="159" spans="20:21" ht="14.25" customHeight="1" x14ac:dyDescent="0.35">
      <c r="T159" s="5"/>
      <c r="U159" s="5"/>
    </row>
    <row r="160" spans="20:21" ht="14.25" customHeight="1" x14ac:dyDescent="0.35">
      <c r="T160" s="5"/>
      <c r="U160" s="5"/>
    </row>
    <row r="161" spans="20:21" ht="14.25" customHeight="1" x14ac:dyDescent="0.35">
      <c r="T161" s="5"/>
      <c r="U161" s="5"/>
    </row>
    <row r="162" spans="20:21" ht="14.25" customHeight="1" x14ac:dyDescent="0.35">
      <c r="T162" s="5"/>
      <c r="U162" s="5"/>
    </row>
    <row r="163" spans="20:21" ht="14.25" customHeight="1" x14ac:dyDescent="0.35">
      <c r="T163" s="5"/>
      <c r="U163" s="5"/>
    </row>
    <row r="164" spans="20:21" ht="14.25" customHeight="1" x14ac:dyDescent="0.35">
      <c r="T164" s="5"/>
      <c r="U164" s="5"/>
    </row>
    <row r="165" spans="20:21" ht="14.25" customHeight="1" x14ac:dyDescent="0.35">
      <c r="T165" s="5"/>
      <c r="U165" s="5"/>
    </row>
    <row r="166" spans="20:21" ht="14.25" customHeight="1" x14ac:dyDescent="0.35">
      <c r="T166" s="5"/>
      <c r="U166" s="5"/>
    </row>
    <row r="167" spans="20:21" ht="14.25" customHeight="1" x14ac:dyDescent="0.35">
      <c r="T167" s="5"/>
      <c r="U167" s="5"/>
    </row>
    <row r="168" spans="20:21" ht="14.25" customHeight="1" x14ac:dyDescent="0.35">
      <c r="T168" s="5"/>
      <c r="U168" s="5"/>
    </row>
    <row r="169" spans="20:21" ht="14.25" customHeight="1" x14ac:dyDescent="0.35">
      <c r="T169" s="5"/>
      <c r="U169" s="5"/>
    </row>
    <row r="170" spans="20:21" ht="14.25" customHeight="1" x14ac:dyDescent="0.35">
      <c r="T170" s="5"/>
      <c r="U170" s="5"/>
    </row>
    <row r="171" spans="20:21" ht="14.25" customHeight="1" x14ac:dyDescent="0.35">
      <c r="T171" s="5"/>
      <c r="U171" s="5"/>
    </row>
    <row r="172" spans="20:21" ht="14.25" customHeight="1" x14ac:dyDescent="0.35">
      <c r="T172" s="5"/>
      <c r="U172" s="5"/>
    </row>
    <row r="173" spans="20:21" ht="14.25" customHeight="1" x14ac:dyDescent="0.35">
      <c r="T173" s="5"/>
      <c r="U173" s="5"/>
    </row>
    <row r="174" spans="20:21" ht="14.25" customHeight="1" x14ac:dyDescent="0.35">
      <c r="T174" s="5"/>
      <c r="U174" s="5"/>
    </row>
    <row r="175" spans="20:21" ht="14.25" customHeight="1" x14ac:dyDescent="0.35">
      <c r="T175" s="5"/>
      <c r="U175" s="5"/>
    </row>
    <row r="176" spans="20:21" ht="14.25" customHeight="1" x14ac:dyDescent="0.35">
      <c r="T176" s="5"/>
      <c r="U176" s="5"/>
    </row>
    <row r="177" spans="20:21" ht="14.25" customHeight="1" x14ac:dyDescent="0.35">
      <c r="T177" s="5"/>
      <c r="U177" s="5"/>
    </row>
    <row r="178" spans="20:21" ht="14.25" customHeight="1" x14ac:dyDescent="0.35">
      <c r="T178" s="5"/>
      <c r="U178" s="5"/>
    </row>
    <row r="179" spans="20:21" ht="14.25" customHeight="1" x14ac:dyDescent="0.35">
      <c r="T179" s="5"/>
      <c r="U179" s="5"/>
    </row>
    <row r="180" spans="20:21" ht="14.25" customHeight="1" x14ac:dyDescent="0.35">
      <c r="T180" s="5"/>
      <c r="U180" s="5"/>
    </row>
    <row r="181" spans="20:21" ht="14.25" customHeight="1" x14ac:dyDescent="0.35">
      <c r="T181" s="5"/>
      <c r="U181" s="5"/>
    </row>
    <row r="182" spans="20:21" ht="14.25" customHeight="1" x14ac:dyDescent="0.35">
      <c r="T182" s="5"/>
      <c r="U182" s="5"/>
    </row>
    <row r="183" spans="20:21" ht="14.25" customHeight="1" x14ac:dyDescent="0.35">
      <c r="T183" s="5"/>
      <c r="U183" s="5"/>
    </row>
    <row r="184" spans="20:21" ht="14.25" customHeight="1" x14ac:dyDescent="0.35">
      <c r="T184" s="5"/>
      <c r="U184" s="5"/>
    </row>
    <row r="185" spans="20:21" ht="14.25" customHeight="1" x14ac:dyDescent="0.35">
      <c r="T185" s="5"/>
      <c r="U185" s="5"/>
    </row>
    <row r="186" spans="20:21" ht="14.25" customHeight="1" x14ac:dyDescent="0.35">
      <c r="T186" s="5"/>
      <c r="U186" s="5"/>
    </row>
    <row r="187" spans="20:21" ht="14.25" customHeight="1" x14ac:dyDescent="0.35">
      <c r="T187" s="5"/>
      <c r="U187" s="5"/>
    </row>
    <row r="188" spans="20:21" ht="14.25" customHeight="1" x14ac:dyDescent="0.35">
      <c r="T188" s="5"/>
      <c r="U188" s="5"/>
    </row>
    <row r="189" spans="20:21" ht="14.25" customHeight="1" x14ac:dyDescent="0.35">
      <c r="T189" s="5"/>
      <c r="U189" s="5"/>
    </row>
    <row r="190" spans="20:21" ht="14.25" customHeight="1" x14ac:dyDescent="0.35">
      <c r="T190" s="5"/>
      <c r="U190" s="5"/>
    </row>
    <row r="191" spans="20:21" ht="14.25" customHeight="1" x14ac:dyDescent="0.35">
      <c r="T191" s="5"/>
      <c r="U191" s="5"/>
    </row>
    <row r="192" spans="20:21" ht="14.25" customHeight="1" x14ac:dyDescent="0.35">
      <c r="T192" s="5"/>
      <c r="U192" s="5"/>
    </row>
    <row r="193" spans="20:21" ht="14.25" customHeight="1" x14ac:dyDescent="0.35">
      <c r="T193" s="5"/>
      <c r="U193" s="5"/>
    </row>
    <row r="194" spans="20:21" ht="14.25" customHeight="1" x14ac:dyDescent="0.35">
      <c r="T194" s="5"/>
      <c r="U194" s="5"/>
    </row>
    <row r="195" spans="20:21" ht="14.25" customHeight="1" x14ac:dyDescent="0.35">
      <c r="T195" s="5"/>
      <c r="U195" s="5"/>
    </row>
    <row r="196" spans="20:21" ht="14.25" customHeight="1" x14ac:dyDescent="0.35">
      <c r="T196" s="5"/>
      <c r="U196" s="5"/>
    </row>
    <row r="197" spans="20:21" ht="14.25" customHeight="1" x14ac:dyDescent="0.35">
      <c r="T197" s="5"/>
      <c r="U197" s="5"/>
    </row>
    <row r="198" spans="20:21" ht="14.25" customHeight="1" x14ac:dyDescent="0.35">
      <c r="T198" s="5"/>
      <c r="U198" s="5"/>
    </row>
    <row r="199" spans="20:21" ht="14.25" customHeight="1" x14ac:dyDescent="0.35">
      <c r="T199" s="5"/>
      <c r="U199" s="5"/>
    </row>
    <row r="200" spans="20:21" ht="14.25" customHeight="1" x14ac:dyDescent="0.35">
      <c r="T200" s="5"/>
      <c r="U200" s="5"/>
    </row>
    <row r="201" spans="20:21" ht="14.25" customHeight="1" x14ac:dyDescent="0.35">
      <c r="T201" s="5"/>
      <c r="U201" s="5"/>
    </row>
    <row r="202" spans="20:21" ht="14.25" customHeight="1" x14ac:dyDescent="0.35">
      <c r="T202" s="5"/>
      <c r="U202" s="5"/>
    </row>
    <row r="203" spans="20:21" ht="14.25" customHeight="1" x14ac:dyDescent="0.35">
      <c r="T203" s="5"/>
      <c r="U203" s="5"/>
    </row>
    <row r="204" spans="20:21" ht="14.25" customHeight="1" x14ac:dyDescent="0.35">
      <c r="T204" s="5"/>
      <c r="U204" s="5"/>
    </row>
    <row r="205" spans="20:21" ht="14.25" customHeight="1" x14ac:dyDescent="0.35">
      <c r="T205" s="5"/>
      <c r="U205" s="5"/>
    </row>
    <row r="206" spans="20:21" ht="14.25" customHeight="1" x14ac:dyDescent="0.35">
      <c r="T206" s="5"/>
      <c r="U206" s="5"/>
    </row>
    <row r="207" spans="20:21" ht="14.25" customHeight="1" x14ac:dyDescent="0.35">
      <c r="T207" s="5"/>
      <c r="U207" s="5"/>
    </row>
    <row r="208" spans="20:21" ht="14.25" customHeight="1" x14ac:dyDescent="0.35">
      <c r="T208" s="5"/>
      <c r="U208" s="5"/>
    </row>
    <row r="209" spans="20:21" ht="14.25" customHeight="1" x14ac:dyDescent="0.35">
      <c r="T209" s="5"/>
      <c r="U209" s="5"/>
    </row>
    <row r="210" spans="20:21" ht="14.25" customHeight="1" x14ac:dyDescent="0.35">
      <c r="T210" s="5"/>
      <c r="U210" s="5"/>
    </row>
    <row r="211" spans="20:21" ht="14.25" customHeight="1" x14ac:dyDescent="0.35">
      <c r="T211" s="5"/>
      <c r="U211" s="5"/>
    </row>
    <row r="212" spans="20:21" ht="14.25" customHeight="1" x14ac:dyDescent="0.35">
      <c r="T212" s="5"/>
      <c r="U212" s="5"/>
    </row>
    <row r="213" spans="20:21" ht="14.25" customHeight="1" x14ac:dyDescent="0.35">
      <c r="T213" s="5"/>
      <c r="U213" s="5"/>
    </row>
    <row r="214" spans="20:21" ht="14.25" customHeight="1" x14ac:dyDescent="0.35">
      <c r="T214" s="5"/>
      <c r="U214" s="5"/>
    </row>
    <row r="215" spans="20:21" ht="14.25" customHeight="1" x14ac:dyDescent="0.35">
      <c r="T215" s="5"/>
      <c r="U215" s="5"/>
    </row>
    <row r="216" spans="20:21" ht="14.25" customHeight="1" x14ac:dyDescent="0.35">
      <c r="T216" s="5"/>
      <c r="U216" s="5"/>
    </row>
    <row r="217" spans="20:21" ht="14.25" customHeight="1" x14ac:dyDescent="0.35">
      <c r="T217" s="5"/>
      <c r="U217" s="5"/>
    </row>
    <row r="218" spans="20:21" ht="14.25" customHeight="1" x14ac:dyDescent="0.35">
      <c r="T218" s="5"/>
      <c r="U218" s="5"/>
    </row>
    <row r="219" spans="20:21" ht="14.25" customHeight="1" x14ac:dyDescent="0.35">
      <c r="T219" s="5"/>
      <c r="U219" s="5"/>
    </row>
    <row r="220" spans="20:21" ht="14.25" customHeight="1" x14ac:dyDescent="0.35">
      <c r="T220" s="5"/>
      <c r="U220" s="5"/>
    </row>
    <row r="221" spans="20:21" ht="14.25" customHeight="1" x14ac:dyDescent="0.35">
      <c r="T221" s="5"/>
      <c r="U221" s="5"/>
    </row>
    <row r="222" spans="20:21" ht="14.25" customHeight="1" x14ac:dyDescent="0.35">
      <c r="T222" s="5"/>
      <c r="U222" s="5"/>
    </row>
    <row r="223" spans="20:21" ht="14.25" customHeight="1" x14ac:dyDescent="0.35">
      <c r="T223" s="5"/>
      <c r="U223" s="5"/>
    </row>
    <row r="224" spans="20:21" ht="14.25" customHeight="1" x14ac:dyDescent="0.35">
      <c r="T224" s="5"/>
      <c r="U224" s="5"/>
    </row>
    <row r="225" spans="20:21" ht="14.25" customHeight="1" x14ac:dyDescent="0.35">
      <c r="T225" s="5"/>
      <c r="U225" s="5"/>
    </row>
    <row r="226" spans="20:21" ht="14.25" customHeight="1" x14ac:dyDescent="0.35">
      <c r="T226" s="5"/>
      <c r="U226" s="5"/>
    </row>
    <row r="227" spans="20:21" ht="14.25" customHeight="1" x14ac:dyDescent="0.35">
      <c r="T227" s="5"/>
      <c r="U227" s="5"/>
    </row>
    <row r="228" spans="20:21" ht="14.25" customHeight="1" x14ac:dyDescent="0.35">
      <c r="T228" s="5"/>
      <c r="U228" s="5"/>
    </row>
    <row r="229" spans="20:21" ht="14.25" customHeight="1" x14ac:dyDescent="0.35">
      <c r="T229" s="5"/>
      <c r="U229" s="5"/>
    </row>
    <row r="230" spans="20:21" ht="14.25" customHeight="1" x14ac:dyDescent="0.35">
      <c r="T230" s="5"/>
      <c r="U230" s="5"/>
    </row>
    <row r="231" spans="20:21" ht="14.25" customHeight="1" x14ac:dyDescent="0.35">
      <c r="T231" s="5"/>
      <c r="U231" s="5"/>
    </row>
    <row r="232" spans="20:21" ht="14.25" customHeight="1" x14ac:dyDescent="0.35">
      <c r="T232" s="5"/>
      <c r="U232" s="5"/>
    </row>
    <row r="233" spans="20:21" ht="14.25" customHeight="1" x14ac:dyDescent="0.35">
      <c r="T233" s="5"/>
      <c r="U233" s="5"/>
    </row>
    <row r="234" spans="20:21" ht="14.25" customHeight="1" x14ac:dyDescent="0.35">
      <c r="T234" s="5"/>
      <c r="U234" s="5"/>
    </row>
    <row r="235" spans="20:21" ht="14.25" customHeight="1" x14ac:dyDescent="0.35">
      <c r="T235" s="5"/>
      <c r="U235" s="5"/>
    </row>
    <row r="236" spans="20:21" ht="14.25" customHeight="1" x14ac:dyDescent="0.35">
      <c r="T236" s="5"/>
      <c r="U236" s="5"/>
    </row>
    <row r="237" spans="20:21" ht="14.25" customHeight="1" x14ac:dyDescent="0.35">
      <c r="T237" s="5"/>
      <c r="U237" s="5"/>
    </row>
    <row r="238" spans="20:21" ht="14.25" customHeight="1" x14ac:dyDescent="0.35">
      <c r="T238" s="5"/>
      <c r="U238" s="5"/>
    </row>
    <row r="239" spans="20:21" ht="14.25" customHeight="1" x14ac:dyDescent="0.35">
      <c r="T239" s="5"/>
      <c r="U239" s="5"/>
    </row>
    <row r="240" spans="20:21" ht="14.25" customHeight="1" x14ac:dyDescent="0.35">
      <c r="T240" s="5"/>
      <c r="U240" s="5"/>
    </row>
    <row r="241" spans="20:21" ht="14.25" customHeight="1" x14ac:dyDescent="0.35">
      <c r="T241" s="5"/>
      <c r="U241" s="5"/>
    </row>
    <row r="242" spans="20:21" ht="14.25" customHeight="1" x14ac:dyDescent="0.35">
      <c r="T242" s="5"/>
      <c r="U242" s="5"/>
    </row>
    <row r="243" spans="20:21" ht="14.25" customHeight="1" x14ac:dyDescent="0.35">
      <c r="T243" s="5"/>
      <c r="U243" s="5"/>
    </row>
    <row r="244" spans="20:21" ht="14.25" customHeight="1" x14ac:dyDescent="0.35">
      <c r="T244" s="5"/>
      <c r="U244" s="5"/>
    </row>
    <row r="245" spans="20:21" ht="14.25" customHeight="1" x14ac:dyDescent="0.35">
      <c r="T245" s="5"/>
      <c r="U245" s="5"/>
    </row>
    <row r="246" spans="20:21" ht="14.25" customHeight="1" x14ac:dyDescent="0.35">
      <c r="T246" s="5"/>
      <c r="U246" s="5"/>
    </row>
    <row r="247" spans="20:21" ht="14.25" customHeight="1" x14ac:dyDescent="0.35">
      <c r="T247" s="5"/>
      <c r="U247" s="5"/>
    </row>
    <row r="248" spans="20:21" ht="14.25" customHeight="1" x14ac:dyDescent="0.35">
      <c r="T248" s="5"/>
      <c r="U248" s="5"/>
    </row>
    <row r="249" spans="20:21" ht="14.25" customHeight="1" x14ac:dyDescent="0.35">
      <c r="T249" s="5"/>
      <c r="U249" s="5"/>
    </row>
    <row r="250" spans="20:21" ht="14.25" customHeight="1" x14ac:dyDescent="0.35">
      <c r="T250" s="5"/>
      <c r="U250" s="5"/>
    </row>
    <row r="251" spans="20:21" ht="14.25" customHeight="1" x14ac:dyDescent="0.35">
      <c r="T251" s="5"/>
      <c r="U251" s="5"/>
    </row>
    <row r="252" spans="20:21" ht="14.25" customHeight="1" x14ac:dyDescent="0.35">
      <c r="T252" s="5"/>
      <c r="U252" s="5"/>
    </row>
    <row r="253" spans="20:21" ht="14.25" customHeight="1" x14ac:dyDescent="0.35">
      <c r="T253" s="5"/>
      <c r="U253" s="5"/>
    </row>
    <row r="254" spans="20:21" ht="14.25" customHeight="1" x14ac:dyDescent="0.35">
      <c r="T254" s="5"/>
      <c r="U254" s="5"/>
    </row>
    <row r="255" spans="20:21" ht="14.25" customHeight="1" x14ac:dyDescent="0.35">
      <c r="T255" s="5"/>
      <c r="U255" s="5"/>
    </row>
    <row r="256" spans="20:21" ht="14.25" customHeight="1" x14ac:dyDescent="0.35">
      <c r="T256" s="5"/>
      <c r="U256" s="5"/>
    </row>
    <row r="257" spans="20:21" ht="14.25" customHeight="1" x14ac:dyDescent="0.35">
      <c r="T257" s="5"/>
      <c r="U257" s="5"/>
    </row>
    <row r="258" spans="20:21" ht="14.25" customHeight="1" x14ac:dyDescent="0.35">
      <c r="T258" s="5"/>
      <c r="U258" s="5"/>
    </row>
    <row r="259" spans="20:21" ht="14.25" customHeight="1" x14ac:dyDescent="0.35">
      <c r="T259" s="5"/>
      <c r="U259" s="5"/>
    </row>
    <row r="260" spans="20:21" ht="14.25" customHeight="1" x14ac:dyDescent="0.35">
      <c r="T260" s="5"/>
      <c r="U260" s="5"/>
    </row>
    <row r="261" spans="20:21" ht="14.25" customHeight="1" x14ac:dyDescent="0.35">
      <c r="T261" s="5"/>
      <c r="U261" s="5"/>
    </row>
    <row r="262" spans="20:21" ht="14.25" customHeight="1" x14ac:dyDescent="0.35">
      <c r="T262" s="5"/>
      <c r="U262" s="5"/>
    </row>
    <row r="263" spans="20:21" ht="14.25" customHeight="1" x14ac:dyDescent="0.35">
      <c r="T263" s="5"/>
      <c r="U263" s="5"/>
    </row>
    <row r="264" spans="20:21" ht="14.25" customHeight="1" x14ac:dyDescent="0.35">
      <c r="T264" s="5"/>
      <c r="U264" s="5"/>
    </row>
    <row r="265" spans="20:21" ht="14.25" customHeight="1" x14ac:dyDescent="0.35">
      <c r="T265" s="5"/>
      <c r="U265" s="5"/>
    </row>
    <row r="266" spans="20:21" ht="14.25" customHeight="1" x14ac:dyDescent="0.35">
      <c r="T266" s="5"/>
      <c r="U266" s="5"/>
    </row>
    <row r="267" spans="20:21" ht="14.25" customHeight="1" x14ac:dyDescent="0.35">
      <c r="T267" s="5"/>
      <c r="U267" s="5"/>
    </row>
    <row r="268" spans="20:21" ht="14.25" customHeight="1" x14ac:dyDescent="0.35">
      <c r="T268" s="5"/>
      <c r="U268" s="5"/>
    </row>
    <row r="269" spans="20:21" ht="14.25" customHeight="1" x14ac:dyDescent="0.35">
      <c r="T269" s="5"/>
      <c r="U269" s="5"/>
    </row>
    <row r="270" spans="20:21" ht="14.25" customHeight="1" x14ac:dyDescent="0.35">
      <c r="T270" s="5"/>
      <c r="U270" s="5"/>
    </row>
    <row r="271" spans="20:21" ht="14.25" customHeight="1" x14ac:dyDescent="0.35">
      <c r="T271" s="5"/>
      <c r="U271" s="5"/>
    </row>
    <row r="272" spans="20:21" ht="14.25" customHeight="1" x14ac:dyDescent="0.35">
      <c r="T272" s="5"/>
      <c r="U272" s="5"/>
    </row>
    <row r="273" spans="20:21" ht="14.25" customHeight="1" x14ac:dyDescent="0.35">
      <c r="T273" s="5"/>
      <c r="U273" s="5"/>
    </row>
    <row r="274" spans="20:21" ht="14.25" customHeight="1" x14ac:dyDescent="0.35">
      <c r="T274" s="5"/>
      <c r="U274" s="5"/>
    </row>
    <row r="275" spans="20:21" ht="14.25" customHeight="1" x14ac:dyDescent="0.35">
      <c r="T275" s="5"/>
      <c r="U275" s="5"/>
    </row>
    <row r="276" spans="20:21" ht="14.25" customHeight="1" x14ac:dyDescent="0.35">
      <c r="T276" s="5"/>
      <c r="U276" s="5"/>
    </row>
    <row r="277" spans="20:21" ht="14.25" customHeight="1" x14ac:dyDescent="0.35">
      <c r="T277" s="5"/>
      <c r="U277" s="5"/>
    </row>
    <row r="278" spans="20:21" ht="14.25" customHeight="1" x14ac:dyDescent="0.35">
      <c r="T278" s="5"/>
      <c r="U278" s="5"/>
    </row>
    <row r="279" spans="20:21" ht="14.25" customHeight="1" x14ac:dyDescent="0.35">
      <c r="T279" s="5"/>
      <c r="U279" s="5"/>
    </row>
    <row r="280" spans="20:21" ht="14.25" customHeight="1" x14ac:dyDescent="0.35">
      <c r="T280" s="5"/>
      <c r="U280" s="5"/>
    </row>
    <row r="281" spans="20:21" ht="14.25" customHeight="1" x14ac:dyDescent="0.35">
      <c r="T281" s="5"/>
      <c r="U281" s="5"/>
    </row>
    <row r="282" spans="20:21" ht="14.25" customHeight="1" x14ac:dyDescent="0.35">
      <c r="T282" s="5"/>
      <c r="U282" s="5"/>
    </row>
    <row r="283" spans="20:21" ht="14.25" customHeight="1" x14ac:dyDescent="0.35">
      <c r="T283" s="5"/>
      <c r="U283" s="5"/>
    </row>
    <row r="284" spans="20:21" ht="14.25" customHeight="1" x14ac:dyDescent="0.35">
      <c r="T284" s="5"/>
      <c r="U284" s="5"/>
    </row>
    <row r="285" spans="20:21" ht="14.25" customHeight="1" x14ac:dyDescent="0.35">
      <c r="T285" s="5"/>
      <c r="U285" s="5"/>
    </row>
    <row r="286" spans="20:21" ht="14.25" customHeight="1" x14ac:dyDescent="0.35">
      <c r="T286" s="5"/>
      <c r="U286" s="5"/>
    </row>
    <row r="287" spans="20:21" ht="14.25" customHeight="1" x14ac:dyDescent="0.35">
      <c r="T287" s="5"/>
      <c r="U287" s="5"/>
    </row>
    <row r="288" spans="20:21" ht="14.25" customHeight="1" x14ac:dyDescent="0.35">
      <c r="T288" s="5"/>
      <c r="U288" s="5"/>
    </row>
    <row r="289" spans="20:21" ht="14.25" customHeight="1" x14ac:dyDescent="0.35">
      <c r="T289" s="5"/>
      <c r="U289" s="5"/>
    </row>
    <row r="290" spans="20:21" ht="14.25" customHeight="1" x14ac:dyDescent="0.35">
      <c r="T290" s="5"/>
      <c r="U290" s="5"/>
    </row>
    <row r="291" spans="20:21" ht="14.25" customHeight="1" x14ac:dyDescent="0.35">
      <c r="T291" s="5"/>
      <c r="U291" s="5"/>
    </row>
    <row r="292" spans="20:21" ht="14.25" customHeight="1" x14ac:dyDescent="0.35">
      <c r="T292" s="5"/>
      <c r="U292" s="5"/>
    </row>
    <row r="293" spans="20:21" ht="14.25" customHeight="1" x14ac:dyDescent="0.35">
      <c r="T293" s="5"/>
      <c r="U293" s="5"/>
    </row>
    <row r="294" spans="20:21" ht="14.25" customHeight="1" x14ac:dyDescent="0.35">
      <c r="T294" s="5"/>
      <c r="U294" s="5"/>
    </row>
    <row r="295" spans="20:21" ht="14.25" customHeight="1" x14ac:dyDescent="0.35">
      <c r="T295" s="5"/>
      <c r="U295" s="5"/>
    </row>
    <row r="296" spans="20:21" ht="14.25" customHeight="1" x14ac:dyDescent="0.35">
      <c r="T296" s="5"/>
      <c r="U296" s="5"/>
    </row>
    <row r="297" spans="20:21" ht="14.25" customHeight="1" x14ac:dyDescent="0.35">
      <c r="T297" s="5"/>
      <c r="U297" s="5"/>
    </row>
    <row r="298" spans="20:21" ht="14.25" customHeight="1" x14ac:dyDescent="0.35">
      <c r="T298" s="5"/>
      <c r="U298" s="5"/>
    </row>
    <row r="299" spans="20:21" ht="14.25" customHeight="1" x14ac:dyDescent="0.35">
      <c r="T299" s="5"/>
      <c r="U299" s="5"/>
    </row>
    <row r="300" spans="20:21" ht="14.25" customHeight="1" x14ac:dyDescent="0.35">
      <c r="T300" s="5"/>
      <c r="U300" s="5"/>
    </row>
    <row r="301" spans="20:21" ht="14.25" customHeight="1" x14ac:dyDescent="0.35">
      <c r="T301" s="5"/>
      <c r="U301" s="5"/>
    </row>
    <row r="302" spans="20:21" ht="14.25" customHeight="1" x14ac:dyDescent="0.35">
      <c r="T302" s="5"/>
      <c r="U302" s="5"/>
    </row>
    <row r="303" spans="20:21" ht="14.25" customHeight="1" x14ac:dyDescent="0.35">
      <c r="T303" s="5"/>
      <c r="U303" s="5"/>
    </row>
    <row r="304" spans="20:21" ht="14.25" customHeight="1" x14ac:dyDescent="0.35">
      <c r="T304" s="5"/>
      <c r="U304" s="5"/>
    </row>
    <row r="305" spans="20:21" ht="14.25" customHeight="1" x14ac:dyDescent="0.35">
      <c r="T305" s="5"/>
      <c r="U305" s="5"/>
    </row>
    <row r="306" spans="20:21" ht="14.25" customHeight="1" x14ac:dyDescent="0.35">
      <c r="T306" s="5"/>
      <c r="U306" s="5"/>
    </row>
    <row r="307" spans="20:21" ht="14.25" customHeight="1" x14ac:dyDescent="0.35">
      <c r="T307" s="5"/>
      <c r="U307" s="5"/>
    </row>
    <row r="308" spans="20:21" ht="14.25" customHeight="1" x14ac:dyDescent="0.35">
      <c r="T308" s="5"/>
      <c r="U308" s="5"/>
    </row>
    <row r="309" spans="20:21" ht="14.25" customHeight="1" x14ac:dyDescent="0.35">
      <c r="T309" s="5"/>
      <c r="U309" s="5"/>
    </row>
    <row r="310" spans="20:21" ht="14.25" customHeight="1" x14ac:dyDescent="0.35">
      <c r="T310" s="5"/>
      <c r="U310" s="5"/>
    </row>
    <row r="311" spans="20:21" ht="14.25" customHeight="1" x14ac:dyDescent="0.35">
      <c r="T311" s="5"/>
      <c r="U311" s="5"/>
    </row>
    <row r="312" spans="20:21" ht="14.25" customHeight="1" x14ac:dyDescent="0.35">
      <c r="T312" s="5"/>
      <c r="U312" s="5"/>
    </row>
    <row r="313" spans="20:21" ht="14.25" customHeight="1" x14ac:dyDescent="0.35">
      <c r="T313" s="5"/>
      <c r="U313" s="5"/>
    </row>
    <row r="314" spans="20:21" ht="14.25" customHeight="1" x14ac:dyDescent="0.35">
      <c r="T314" s="5"/>
      <c r="U314" s="5"/>
    </row>
    <row r="315" spans="20:21" ht="14.25" customHeight="1" x14ac:dyDescent="0.35">
      <c r="T315" s="5"/>
      <c r="U315" s="5"/>
    </row>
    <row r="316" spans="20:21" ht="14.25" customHeight="1" x14ac:dyDescent="0.35">
      <c r="T316" s="5"/>
      <c r="U316" s="5"/>
    </row>
    <row r="317" spans="20:21" ht="14.25" customHeight="1" x14ac:dyDescent="0.35">
      <c r="T317" s="5"/>
      <c r="U317" s="5"/>
    </row>
    <row r="318" spans="20:21" ht="14.25" customHeight="1" x14ac:dyDescent="0.35">
      <c r="T318" s="5"/>
      <c r="U318" s="5"/>
    </row>
    <row r="319" spans="20:21" ht="14.25" customHeight="1" x14ac:dyDescent="0.35">
      <c r="T319" s="5"/>
      <c r="U319" s="5"/>
    </row>
    <row r="320" spans="20:21" ht="14.25" customHeight="1" x14ac:dyDescent="0.35">
      <c r="T320" s="5"/>
      <c r="U320" s="5"/>
    </row>
    <row r="321" spans="20:21" ht="14.25" customHeight="1" x14ac:dyDescent="0.35">
      <c r="T321" s="5"/>
      <c r="U321" s="5"/>
    </row>
    <row r="322" spans="20:21" ht="14.25" customHeight="1" x14ac:dyDescent="0.35">
      <c r="T322" s="5"/>
      <c r="U322" s="5"/>
    </row>
    <row r="323" spans="20:21" ht="14.25" customHeight="1" x14ac:dyDescent="0.35">
      <c r="T323" s="5"/>
      <c r="U323" s="5"/>
    </row>
    <row r="324" spans="20:21" ht="14.25" customHeight="1" x14ac:dyDescent="0.35">
      <c r="T324" s="5"/>
      <c r="U324" s="5"/>
    </row>
    <row r="325" spans="20:21" ht="14.25" customHeight="1" x14ac:dyDescent="0.35">
      <c r="T325" s="5"/>
      <c r="U325" s="5"/>
    </row>
    <row r="326" spans="20:21" ht="14.25" customHeight="1" x14ac:dyDescent="0.35">
      <c r="T326" s="5"/>
      <c r="U326" s="5"/>
    </row>
    <row r="327" spans="20:21" ht="14.25" customHeight="1" x14ac:dyDescent="0.35">
      <c r="T327" s="5"/>
      <c r="U327" s="5"/>
    </row>
    <row r="328" spans="20:21" ht="14.25" customHeight="1" x14ac:dyDescent="0.35">
      <c r="T328" s="5"/>
      <c r="U328" s="5"/>
    </row>
    <row r="329" spans="20:21" ht="14.25" customHeight="1" x14ac:dyDescent="0.35">
      <c r="T329" s="5"/>
      <c r="U329" s="5"/>
    </row>
    <row r="330" spans="20:21" ht="14.25" customHeight="1" x14ac:dyDescent="0.35">
      <c r="T330" s="5"/>
      <c r="U330" s="5"/>
    </row>
    <row r="331" spans="20:21" ht="14.25" customHeight="1" x14ac:dyDescent="0.35">
      <c r="T331" s="5"/>
      <c r="U331" s="5"/>
    </row>
    <row r="332" spans="20:21" ht="14.25" customHeight="1" x14ac:dyDescent="0.35">
      <c r="T332" s="5"/>
      <c r="U332" s="5"/>
    </row>
    <row r="333" spans="20:21" ht="14.25" customHeight="1" x14ac:dyDescent="0.35">
      <c r="T333" s="5"/>
      <c r="U333" s="5"/>
    </row>
    <row r="334" spans="20:21" ht="14.25" customHeight="1" x14ac:dyDescent="0.35">
      <c r="T334" s="5"/>
      <c r="U334" s="5"/>
    </row>
    <row r="335" spans="20:21" ht="14.25" customHeight="1" x14ac:dyDescent="0.35">
      <c r="T335" s="5"/>
      <c r="U335" s="5"/>
    </row>
    <row r="336" spans="20:21" ht="14.25" customHeight="1" x14ac:dyDescent="0.35">
      <c r="T336" s="5"/>
      <c r="U336" s="5"/>
    </row>
    <row r="337" spans="20:21" ht="14.25" customHeight="1" x14ac:dyDescent="0.35">
      <c r="T337" s="5"/>
      <c r="U337" s="5"/>
    </row>
    <row r="338" spans="20:21" ht="14.25" customHeight="1" x14ac:dyDescent="0.35">
      <c r="T338" s="5"/>
      <c r="U338" s="5"/>
    </row>
    <row r="339" spans="20:21" ht="14.25" customHeight="1" x14ac:dyDescent="0.35">
      <c r="T339" s="5"/>
      <c r="U339" s="5"/>
    </row>
    <row r="340" spans="20:21" ht="14.25" customHeight="1" x14ac:dyDescent="0.35">
      <c r="T340" s="5"/>
      <c r="U340" s="5"/>
    </row>
    <row r="341" spans="20:21" ht="14.25" customHeight="1" x14ac:dyDescent="0.35">
      <c r="T341" s="5"/>
      <c r="U341" s="5"/>
    </row>
    <row r="342" spans="20:21" ht="14.25" customHeight="1" x14ac:dyDescent="0.35">
      <c r="T342" s="5"/>
      <c r="U342" s="5"/>
    </row>
    <row r="343" spans="20:21" ht="14.25" customHeight="1" x14ac:dyDescent="0.35">
      <c r="T343" s="5"/>
      <c r="U343" s="5"/>
    </row>
    <row r="344" spans="20:21" ht="14.25" customHeight="1" x14ac:dyDescent="0.35">
      <c r="T344" s="5"/>
      <c r="U344" s="5"/>
    </row>
    <row r="345" spans="20:21" ht="14.25" customHeight="1" x14ac:dyDescent="0.35">
      <c r="T345" s="5"/>
      <c r="U345" s="5"/>
    </row>
    <row r="346" spans="20:21" ht="14.25" customHeight="1" x14ac:dyDescent="0.35">
      <c r="T346" s="5"/>
      <c r="U346" s="5"/>
    </row>
    <row r="347" spans="20:21" ht="14.25" customHeight="1" x14ac:dyDescent="0.35">
      <c r="T347" s="5"/>
      <c r="U347" s="5"/>
    </row>
    <row r="348" spans="20:21" ht="14.25" customHeight="1" x14ac:dyDescent="0.35">
      <c r="T348" s="5"/>
      <c r="U348" s="5"/>
    </row>
    <row r="349" spans="20:21" ht="14.25" customHeight="1" x14ac:dyDescent="0.35">
      <c r="T349" s="5"/>
      <c r="U349" s="5"/>
    </row>
    <row r="350" spans="20:21" ht="14.25" customHeight="1" x14ac:dyDescent="0.35">
      <c r="T350" s="5"/>
      <c r="U350" s="5"/>
    </row>
    <row r="351" spans="20:21" ht="14.25" customHeight="1" x14ac:dyDescent="0.35">
      <c r="T351" s="5"/>
      <c r="U351" s="5"/>
    </row>
    <row r="352" spans="20:21" ht="14.25" customHeight="1" x14ac:dyDescent="0.35">
      <c r="T352" s="5"/>
      <c r="U352" s="5"/>
    </row>
    <row r="353" spans="20:21" ht="14.25" customHeight="1" x14ac:dyDescent="0.35">
      <c r="T353" s="5"/>
      <c r="U353" s="5"/>
    </row>
    <row r="354" spans="20:21" ht="14.25" customHeight="1" x14ac:dyDescent="0.35">
      <c r="T354" s="5"/>
      <c r="U354" s="5"/>
    </row>
    <row r="355" spans="20:21" ht="14.25" customHeight="1" x14ac:dyDescent="0.35">
      <c r="T355" s="5"/>
      <c r="U355" s="5"/>
    </row>
    <row r="356" spans="20:21" ht="14.25" customHeight="1" x14ac:dyDescent="0.35">
      <c r="T356" s="5"/>
      <c r="U356" s="5"/>
    </row>
    <row r="357" spans="20:21" ht="14.25" customHeight="1" x14ac:dyDescent="0.35">
      <c r="T357" s="5"/>
      <c r="U357" s="5"/>
    </row>
    <row r="358" spans="20:21" ht="14.25" customHeight="1" x14ac:dyDescent="0.35">
      <c r="T358" s="5"/>
      <c r="U358" s="5"/>
    </row>
    <row r="359" spans="20:21" ht="14.25" customHeight="1" x14ac:dyDescent="0.35">
      <c r="T359" s="5"/>
      <c r="U359" s="5"/>
    </row>
    <row r="360" spans="20:21" ht="14.25" customHeight="1" x14ac:dyDescent="0.35">
      <c r="T360" s="5"/>
      <c r="U360" s="5"/>
    </row>
    <row r="361" spans="20:21" ht="14.25" customHeight="1" x14ac:dyDescent="0.35">
      <c r="T361" s="5"/>
      <c r="U361" s="5"/>
    </row>
    <row r="362" spans="20:21" ht="14.25" customHeight="1" x14ac:dyDescent="0.35">
      <c r="T362" s="5"/>
      <c r="U362" s="5"/>
    </row>
    <row r="363" spans="20:21" ht="14.25" customHeight="1" x14ac:dyDescent="0.35">
      <c r="T363" s="5"/>
      <c r="U363" s="5"/>
    </row>
    <row r="364" spans="20:21" ht="14.25" customHeight="1" x14ac:dyDescent="0.35">
      <c r="T364" s="5"/>
      <c r="U364" s="5"/>
    </row>
    <row r="365" spans="20:21" ht="14.25" customHeight="1" x14ac:dyDescent="0.35">
      <c r="T365" s="5"/>
      <c r="U365" s="5"/>
    </row>
    <row r="366" spans="20:21" ht="14.25" customHeight="1" x14ac:dyDescent="0.35">
      <c r="T366" s="5"/>
      <c r="U366" s="5"/>
    </row>
    <row r="367" spans="20:21" ht="14.25" customHeight="1" x14ac:dyDescent="0.35">
      <c r="T367" s="5"/>
      <c r="U367" s="5"/>
    </row>
    <row r="368" spans="20:21" ht="14.25" customHeight="1" x14ac:dyDescent="0.35">
      <c r="T368" s="5"/>
      <c r="U368" s="5"/>
    </row>
    <row r="369" spans="20:21" ht="14.25" customHeight="1" x14ac:dyDescent="0.35">
      <c r="T369" s="5"/>
      <c r="U369" s="5"/>
    </row>
    <row r="370" spans="20:21" ht="14.25" customHeight="1" x14ac:dyDescent="0.35">
      <c r="T370" s="5"/>
      <c r="U370" s="5"/>
    </row>
    <row r="371" spans="20:21" ht="14.25" customHeight="1" x14ac:dyDescent="0.35">
      <c r="T371" s="5"/>
      <c r="U371" s="5"/>
    </row>
    <row r="372" spans="20:21" ht="14.25" customHeight="1" x14ac:dyDescent="0.35">
      <c r="T372" s="5"/>
      <c r="U372" s="5"/>
    </row>
    <row r="373" spans="20:21" ht="14.25" customHeight="1" x14ac:dyDescent="0.35">
      <c r="T373" s="5"/>
      <c r="U373" s="5"/>
    </row>
    <row r="374" spans="20:21" ht="14.25" customHeight="1" x14ac:dyDescent="0.35">
      <c r="T374" s="5"/>
      <c r="U374" s="5"/>
    </row>
    <row r="375" spans="20:21" ht="14.25" customHeight="1" x14ac:dyDescent="0.35">
      <c r="T375" s="5"/>
      <c r="U375" s="5"/>
    </row>
    <row r="376" spans="20:21" ht="14.25" customHeight="1" x14ac:dyDescent="0.35">
      <c r="T376" s="5"/>
      <c r="U376" s="5"/>
    </row>
    <row r="377" spans="20:21" ht="14.25" customHeight="1" x14ac:dyDescent="0.35">
      <c r="T377" s="5"/>
      <c r="U377" s="5"/>
    </row>
    <row r="378" spans="20:21" ht="14.25" customHeight="1" x14ac:dyDescent="0.35">
      <c r="T378" s="5"/>
      <c r="U378" s="5"/>
    </row>
    <row r="379" spans="20:21" ht="14.25" customHeight="1" x14ac:dyDescent="0.35">
      <c r="T379" s="5"/>
      <c r="U379" s="5"/>
    </row>
    <row r="380" spans="20:21" ht="14.25" customHeight="1" x14ac:dyDescent="0.35">
      <c r="T380" s="5"/>
      <c r="U380" s="5"/>
    </row>
    <row r="381" spans="20:21" ht="14.25" customHeight="1" x14ac:dyDescent="0.35">
      <c r="T381" s="5"/>
      <c r="U381" s="5"/>
    </row>
    <row r="382" spans="20:21" ht="14.25" customHeight="1" x14ac:dyDescent="0.35">
      <c r="T382" s="5"/>
      <c r="U382" s="5"/>
    </row>
    <row r="383" spans="20:21" ht="14.25" customHeight="1" x14ac:dyDescent="0.35">
      <c r="T383" s="5"/>
      <c r="U383" s="5"/>
    </row>
    <row r="384" spans="20:21" ht="14.25" customHeight="1" x14ac:dyDescent="0.35">
      <c r="T384" s="5"/>
      <c r="U384" s="5"/>
    </row>
    <row r="385" spans="20:21" ht="14.25" customHeight="1" x14ac:dyDescent="0.35">
      <c r="T385" s="5"/>
      <c r="U385" s="5"/>
    </row>
    <row r="386" spans="20:21" ht="14.25" customHeight="1" x14ac:dyDescent="0.35">
      <c r="T386" s="5"/>
      <c r="U386" s="5"/>
    </row>
    <row r="387" spans="20:21" ht="14.25" customHeight="1" x14ac:dyDescent="0.35">
      <c r="T387" s="5"/>
      <c r="U387" s="5"/>
    </row>
    <row r="388" spans="20:21" ht="14.25" customHeight="1" x14ac:dyDescent="0.35">
      <c r="T388" s="5"/>
      <c r="U388" s="5"/>
    </row>
    <row r="389" spans="20:21" ht="14.25" customHeight="1" x14ac:dyDescent="0.35">
      <c r="T389" s="5"/>
      <c r="U389" s="5"/>
    </row>
    <row r="390" spans="20:21" ht="14.25" customHeight="1" x14ac:dyDescent="0.35">
      <c r="T390" s="5"/>
      <c r="U390" s="5"/>
    </row>
    <row r="391" spans="20:21" ht="14.25" customHeight="1" x14ac:dyDescent="0.35">
      <c r="T391" s="5"/>
      <c r="U391" s="5"/>
    </row>
    <row r="392" spans="20:21" ht="14.25" customHeight="1" x14ac:dyDescent="0.35">
      <c r="T392" s="5"/>
      <c r="U392" s="5"/>
    </row>
    <row r="393" spans="20:21" ht="14.25" customHeight="1" x14ac:dyDescent="0.35">
      <c r="T393" s="5"/>
      <c r="U393" s="5"/>
    </row>
    <row r="394" spans="20:21" ht="14.25" customHeight="1" x14ac:dyDescent="0.35">
      <c r="T394" s="5"/>
      <c r="U394" s="5"/>
    </row>
    <row r="395" spans="20:21" ht="14.25" customHeight="1" x14ac:dyDescent="0.35">
      <c r="T395" s="5"/>
      <c r="U395" s="5"/>
    </row>
    <row r="396" spans="20:21" ht="14.25" customHeight="1" x14ac:dyDescent="0.35">
      <c r="T396" s="5"/>
      <c r="U396" s="5"/>
    </row>
    <row r="397" spans="20:21" ht="14.25" customHeight="1" x14ac:dyDescent="0.35">
      <c r="T397" s="5"/>
      <c r="U397" s="5"/>
    </row>
    <row r="398" spans="20:21" ht="14.25" customHeight="1" x14ac:dyDescent="0.35">
      <c r="T398" s="5"/>
      <c r="U398" s="5"/>
    </row>
    <row r="399" spans="20:21" ht="14.25" customHeight="1" x14ac:dyDescent="0.35">
      <c r="T399" s="5"/>
      <c r="U399" s="5"/>
    </row>
    <row r="400" spans="20:21" ht="14.25" customHeight="1" x14ac:dyDescent="0.35">
      <c r="T400" s="5"/>
      <c r="U400" s="5"/>
    </row>
    <row r="401" spans="20:21" ht="14.25" customHeight="1" x14ac:dyDescent="0.35">
      <c r="T401" s="5"/>
      <c r="U401" s="5"/>
    </row>
    <row r="402" spans="20:21" ht="14.25" customHeight="1" x14ac:dyDescent="0.35">
      <c r="T402" s="5"/>
      <c r="U402" s="5"/>
    </row>
    <row r="403" spans="20:21" ht="14.25" customHeight="1" x14ac:dyDescent="0.35">
      <c r="T403" s="5"/>
      <c r="U403" s="5"/>
    </row>
    <row r="404" spans="20:21" ht="14.25" customHeight="1" x14ac:dyDescent="0.35">
      <c r="T404" s="5"/>
      <c r="U404" s="5"/>
    </row>
    <row r="405" spans="20:21" ht="14.25" customHeight="1" x14ac:dyDescent="0.35">
      <c r="T405" s="5"/>
      <c r="U405" s="5"/>
    </row>
    <row r="406" spans="20:21" ht="14.25" customHeight="1" x14ac:dyDescent="0.35">
      <c r="T406" s="5"/>
      <c r="U406" s="5"/>
    </row>
    <row r="407" spans="20:21" ht="14.25" customHeight="1" x14ac:dyDescent="0.35">
      <c r="T407" s="5"/>
      <c r="U407" s="5"/>
    </row>
    <row r="408" spans="20:21" ht="14.25" customHeight="1" x14ac:dyDescent="0.35">
      <c r="T408" s="5"/>
      <c r="U408" s="5"/>
    </row>
    <row r="409" spans="20:21" ht="14.25" customHeight="1" x14ac:dyDescent="0.35">
      <c r="T409" s="5"/>
      <c r="U409" s="5"/>
    </row>
    <row r="410" spans="20:21" ht="14.25" customHeight="1" x14ac:dyDescent="0.35">
      <c r="T410" s="5"/>
      <c r="U410" s="5"/>
    </row>
    <row r="411" spans="20:21" ht="14.25" customHeight="1" x14ac:dyDescent="0.35">
      <c r="T411" s="5"/>
      <c r="U411" s="5"/>
    </row>
    <row r="412" spans="20:21" ht="14.25" customHeight="1" x14ac:dyDescent="0.35">
      <c r="T412" s="5"/>
      <c r="U412" s="5"/>
    </row>
    <row r="413" spans="20:21" ht="14.25" customHeight="1" x14ac:dyDescent="0.35">
      <c r="T413" s="5"/>
      <c r="U413" s="5"/>
    </row>
    <row r="414" spans="20:21" ht="14.25" customHeight="1" x14ac:dyDescent="0.35">
      <c r="T414" s="5"/>
      <c r="U414" s="5"/>
    </row>
    <row r="415" spans="20:21" ht="14.25" customHeight="1" x14ac:dyDescent="0.35">
      <c r="T415" s="5"/>
      <c r="U415" s="5"/>
    </row>
    <row r="416" spans="20:21" ht="14.25" customHeight="1" x14ac:dyDescent="0.35">
      <c r="T416" s="5"/>
      <c r="U416" s="5"/>
    </row>
    <row r="417" spans="20:21" ht="14.25" customHeight="1" x14ac:dyDescent="0.35">
      <c r="T417" s="5"/>
      <c r="U417" s="5"/>
    </row>
    <row r="418" spans="20:21" ht="14.25" customHeight="1" x14ac:dyDescent="0.35">
      <c r="T418" s="5"/>
      <c r="U418" s="5"/>
    </row>
    <row r="419" spans="20:21" ht="14.25" customHeight="1" x14ac:dyDescent="0.35">
      <c r="T419" s="5"/>
      <c r="U419" s="5"/>
    </row>
    <row r="420" spans="20:21" ht="14.25" customHeight="1" x14ac:dyDescent="0.35">
      <c r="T420" s="5"/>
      <c r="U420" s="5"/>
    </row>
    <row r="421" spans="20:21" ht="14.25" customHeight="1" x14ac:dyDescent="0.35">
      <c r="T421" s="5"/>
      <c r="U421" s="5"/>
    </row>
    <row r="422" spans="20:21" ht="14.25" customHeight="1" x14ac:dyDescent="0.35">
      <c r="T422" s="5"/>
      <c r="U422" s="5"/>
    </row>
    <row r="423" spans="20:21" ht="14.25" customHeight="1" x14ac:dyDescent="0.35">
      <c r="T423" s="5"/>
      <c r="U423" s="5"/>
    </row>
    <row r="424" spans="20:21" ht="14.25" customHeight="1" x14ac:dyDescent="0.35">
      <c r="T424" s="5"/>
      <c r="U424" s="5"/>
    </row>
    <row r="425" spans="20:21" ht="14.25" customHeight="1" x14ac:dyDescent="0.35">
      <c r="T425" s="5"/>
      <c r="U425" s="5"/>
    </row>
    <row r="426" spans="20:21" ht="14.25" customHeight="1" x14ac:dyDescent="0.35">
      <c r="T426" s="5"/>
      <c r="U426" s="5"/>
    </row>
    <row r="427" spans="20:21" ht="14.25" customHeight="1" x14ac:dyDescent="0.35">
      <c r="T427" s="5"/>
      <c r="U427" s="5"/>
    </row>
    <row r="428" spans="20:21" ht="14.25" customHeight="1" x14ac:dyDescent="0.35">
      <c r="T428" s="5"/>
      <c r="U428" s="5"/>
    </row>
    <row r="429" spans="20:21" ht="14.25" customHeight="1" x14ac:dyDescent="0.35">
      <c r="T429" s="5"/>
      <c r="U429" s="5"/>
    </row>
    <row r="430" spans="20:21" ht="14.25" customHeight="1" x14ac:dyDescent="0.35">
      <c r="T430" s="5"/>
      <c r="U430" s="5"/>
    </row>
    <row r="431" spans="20:21" ht="14.25" customHeight="1" x14ac:dyDescent="0.35">
      <c r="T431" s="5"/>
      <c r="U431" s="5"/>
    </row>
    <row r="432" spans="20:21" ht="14.25" customHeight="1" x14ac:dyDescent="0.35">
      <c r="T432" s="5"/>
      <c r="U432" s="5"/>
    </row>
    <row r="433" spans="20:21" ht="14.25" customHeight="1" x14ac:dyDescent="0.35">
      <c r="T433" s="5"/>
      <c r="U433" s="5"/>
    </row>
    <row r="434" spans="20:21" ht="14.25" customHeight="1" x14ac:dyDescent="0.35">
      <c r="T434" s="5"/>
      <c r="U434" s="5"/>
    </row>
    <row r="435" spans="20:21" ht="14.25" customHeight="1" x14ac:dyDescent="0.35">
      <c r="T435" s="5"/>
      <c r="U435" s="5"/>
    </row>
    <row r="436" spans="20:21" ht="14.25" customHeight="1" x14ac:dyDescent="0.35">
      <c r="T436" s="5"/>
      <c r="U436" s="5"/>
    </row>
    <row r="437" spans="20:21" ht="14.25" customHeight="1" x14ac:dyDescent="0.35">
      <c r="T437" s="5"/>
      <c r="U437" s="5"/>
    </row>
    <row r="438" spans="20:21" ht="14.25" customHeight="1" x14ac:dyDescent="0.35">
      <c r="T438" s="5"/>
      <c r="U438" s="5"/>
    </row>
    <row r="439" spans="20:21" ht="14.25" customHeight="1" x14ac:dyDescent="0.35">
      <c r="T439" s="5"/>
      <c r="U439" s="5"/>
    </row>
    <row r="440" spans="20:21" ht="14.25" customHeight="1" x14ac:dyDescent="0.35">
      <c r="T440" s="5"/>
      <c r="U440" s="5"/>
    </row>
    <row r="441" spans="20:21" ht="14.25" customHeight="1" x14ac:dyDescent="0.35">
      <c r="T441" s="5"/>
      <c r="U441" s="5"/>
    </row>
    <row r="442" spans="20:21" ht="14.25" customHeight="1" x14ac:dyDescent="0.35">
      <c r="T442" s="5"/>
      <c r="U442" s="5"/>
    </row>
    <row r="443" spans="20:21" ht="14.25" customHeight="1" x14ac:dyDescent="0.35">
      <c r="T443" s="5"/>
      <c r="U443" s="5"/>
    </row>
    <row r="444" spans="20:21" ht="14.25" customHeight="1" x14ac:dyDescent="0.35">
      <c r="T444" s="5"/>
      <c r="U444" s="5"/>
    </row>
    <row r="445" spans="20:21" ht="14.25" customHeight="1" x14ac:dyDescent="0.35">
      <c r="T445" s="5"/>
      <c r="U445" s="5"/>
    </row>
    <row r="446" spans="20:21" ht="14.25" customHeight="1" x14ac:dyDescent="0.35">
      <c r="T446" s="5"/>
      <c r="U446" s="5"/>
    </row>
    <row r="447" spans="20:21" ht="14.25" customHeight="1" x14ac:dyDescent="0.35">
      <c r="T447" s="5"/>
      <c r="U447" s="5"/>
    </row>
    <row r="448" spans="20:21" ht="14.25" customHeight="1" x14ac:dyDescent="0.35">
      <c r="T448" s="5"/>
      <c r="U448" s="5"/>
    </row>
    <row r="449" spans="20:21" ht="14.25" customHeight="1" x14ac:dyDescent="0.35">
      <c r="T449" s="5"/>
      <c r="U449" s="5"/>
    </row>
    <row r="450" spans="20:21" ht="14.25" customHeight="1" x14ac:dyDescent="0.35">
      <c r="T450" s="5"/>
      <c r="U450" s="5"/>
    </row>
    <row r="451" spans="20:21" ht="14.25" customHeight="1" x14ac:dyDescent="0.35">
      <c r="T451" s="5"/>
      <c r="U451" s="5"/>
    </row>
    <row r="452" spans="20:21" ht="14.25" customHeight="1" x14ac:dyDescent="0.35">
      <c r="T452" s="5"/>
      <c r="U452" s="5"/>
    </row>
    <row r="453" spans="20:21" ht="14.25" customHeight="1" x14ac:dyDescent="0.35">
      <c r="T453" s="5"/>
      <c r="U453" s="5"/>
    </row>
    <row r="454" spans="20:21" ht="14.25" customHeight="1" x14ac:dyDescent="0.35">
      <c r="T454" s="5"/>
      <c r="U454" s="5"/>
    </row>
    <row r="455" spans="20:21" ht="14.25" customHeight="1" x14ac:dyDescent="0.35">
      <c r="T455" s="5"/>
      <c r="U455" s="5"/>
    </row>
    <row r="456" spans="20:21" ht="14.25" customHeight="1" x14ac:dyDescent="0.35">
      <c r="T456" s="5"/>
      <c r="U456" s="5"/>
    </row>
    <row r="457" spans="20:21" ht="14.25" customHeight="1" x14ac:dyDescent="0.35">
      <c r="T457" s="5"/>
      <c r="U457" s="5"/>
    </row>
    <row r="458" spans="20:21" ht="14.25" customHeight="1" x14ac:dyDescent="0.35">
      <c r="T458" s="5"/>
      <c r="U458" s="5"/>
    </row>
    <row r="459" spans="20:21" ht="14.25" customHeight="1" x14ac:dyDescent="0.35">
      <c r="T459" s="5"/>
      <c r="U459" s="5"/>
    </row>
    <row r="460" spans="20:21" ht="14.25" customHeight="1" x14ac:dyDescent="0.35">
      <c r="T460" s="5"/>
      <c r="U460" s="5"/>
    </row>
    <row r="461" spans="20:21" ht="14.25" customHeight="1" x14ac:dyDescent="0.35">
      <c r="T461" s="5"/>
      <c r="U461" s="5"/>
    </row>
    <row r="462" spans="20:21" ht="14.25" customHeight="1" x14ac:dyDescent="0.35">
      <c r="T462" s="5"/>
      <c r="U462" s="5"/>
    </row>
    <row r="463" spans="20:21" ht="14.25" customHeight="1" x14ac:dyDescent="0.35">
      <c r="T463" s="5"/>
      <c r="U463" s="5"/>
    </row>
    <row r="464" spans="20:21" ht="14.25" customHeight="1" x14ac:dyDescent="0.35">
      <c r="T464" s="5"/>
      <c r="U464" s="5"/>
    </row>
    <row r="465" spans="20:21" ht="14.25" customHeight="1" x14ac:dyDescent="0.35">
      <c r="T465" s="5"/>
      <c r="U465" s="5"/>
    </row>
    <row r="466" spans="20:21" ht="14.25" customHeight="1" x14ac:dyDescent="0.35">
      <c r="T466" s="5"/>
      <c r="U466" s="5"/>
    </row>
    <row r="467" spans="20:21" ht="14.25" customHeight="1" x14ac:dyDescent="0.35">
      <c r="T467" s="5"/>
      <c r="U467" s="5"/>
    </row>
    <row r="468" spans="20:21" ht="14.25" customHeight="1" x14ac:dyDescent="0.35">
      <c r="T468" s="5"/>
      <c r="U468" s="5"/>
    </row>
    <row r="469" spans="20:21" ht="14.25" customHeight="1" x14ac:dyDescent="0.35">
      <c r="T469" s="5"/>
      <c r="U469" s="5"/>
    </row>
    <row r="470" spans="20:21" ht="14.25" customHeight="1" x14ac:dyDescent="0.35">
      <c r="T470" s="5"/>
      <c r="U470" s="5"/>
    </row>
    <row r="471" spans="20:21" ht="14.25" customHeight="1" x14ac:dyDescent="0.35">
      <c r="T471" s="5"/>
      <c r="U471" s="5"/>
    </row>
    <row r="472" spans="20:21" ht="14.25" customHeight="1" x14ac:dyDescent="0.35">
      <c r="T472" s="5"/>
      <c r="U472" s="5"/>
    </row>
    <row r="473" spans="20:21" ht="14.25" customHeight="1" x14ac:dyDescent="0.35">
      <c r="T473" s="5"/>
      <c r="U473" s="5"/>
    </row>
    <row r="474" spans="20:21" ht="14.25" customHeight="1" x14ac:dyDescent="0.35">
      <c r="T474" s="5"/>
      <c r="U474" s="5"/>
    </row>
    <row r="475" spans="20:21" ht="14.25" customHeight="1" x14ac:dyDescent="0.35">
      <c r="T475" s="5"/>
      <c r="U475" s="5"/>
    </row>
    <row r="476" spans="20:21" ht="14.25" customHeight="1" x14ac:dyDescent="0.35">
      <c r="T476" s="5"/>
      <c r="U476" s="5"/>
    </row>
    <row r="477" spans="20:21" ht="14.25" customHeight="1" x14ac:dyDescent="0.35">
      <c r="T477" s="5"/>
      <c r="U477" s="5"/>
    </row>
    <row r="478" spans="20:21" ht="14.25" customHeight="1" x14ac:dyDescent="0.35">
      <c r="T478" s="5"/>
      <c r="U478" s="5"/>
    </row>
    <row r="479" spans="20:21" ht="14.25" customHeight="1" x14ac:dyDescent="0.35">
      <c r="T479" s="5"/>
      <c r="U479" s="5"/>
    </row>
    <row r="480" spans="20:21" ht="14.25" customHeight="1" x14ac:dyDescent="0.35">
      <c r="T480" s="5"/>
      <c r="U480" s="5"/>
    </row>
    <row r="481" spans="20:21" ht="14.25" customHeight="1" x14ac:dyDescent="0.35">
      <c r="T481" s="5"/>
      <c r="U481" s="5"/>
    </row>
    <row r="482" spans="20:21" ht="14.25" customHeight="1" x14ac:dyDescent="0.35">
      <c r="T482" s="5"/>
      <c r="U482" s="5"/>
    </row>
    <row r="483" spans="20:21" ht="14.25" customHeight="1" x14ac:dyDescent="0.35">
      <c r="T483" s="5"/>
      <c r="U483" s="5"/>
    </row>
    <row r="484" spans="20:21" ht="14.25" customHeight="1" x14ac:dyDescent="0.35">
      <c r="T484" s="5"/>
      <c r="U484" s="5"/>
    </row>
    <row r="485" spans="20:21" ht="14.25" customHeight="1" x14ac:dyDescent="0.35">
      <c r="T485" s="5"/>
      <c r="U485" s="5"/>
    </row>
    <row r="486" spans="20:21" ht="14.25" customHeight="1" x14ac:dyDescent="0.35">
      <c r="T486" s="5"/>
      <c r="U486" s="5"/>
    </row>
    <row r="487" spans="20:21" ht="14.25" customHeight="1" x14ac:dyDescent="0.35">
      <c r="T487" s="5"/>
      <c r="U487" s="5"/>
    </row>
    <row r="488" spans="20:21" ht="14.25" customHeight="1" x14ac:dyDescent="0.35">
      <c r="T488" s="5"/>
      <c r="U488" s="5"/>
    </row>
    <row r="489" spans="20:21" ht="14.25" customHeight="1" x14ac:dyDescent="0.35">
      <c r="T489" s="5"/>
      <c r="U489" s="5"/>
    </row>
    <row r="490" spans="20:21" ht="14.25" customHeight="1" x14ac:dyDescent="0.35">
      <c r="T490" s="5"/>
      <c r="U490" s="5"/>
    </row>
    <row r="491" spans="20:21" ht="14.25" customHeight="1" x14ac:dyDescent="0.35">
      <c r="T491" s="5"/>
      <c r="U491" s="5"/>
    </row>
    <row r="492" spans="20:21" ht="14.25" customHeight="1" x14ac:dyDescent="0.35">
      <c r="T492" s="5"/>
      <c r="U492" s="5"/>
    </row>
    <row r="493" spans="20:21" ht="14.25" customHeight="1" x14ac:dyDescent="0.35">
      <c r="T493" s="5"/>
      <c r="U493" s="5"/>
    </row>
    <row r="494" spans="20:21" ht="14.25" customHeight="1" x14ac:dyDescent="0.35">
      <c r="T494" s="5"/>
      <c r="U494" s="5"/>
    </row>
    <row r="495" spans="20:21" ht="14.25" customHeight="1" x14ac:dyDescent="0.35">
      <c r="T495" s="5"/>
      <c r="U495" s="5"/>
    </row>
    <row r="496" spans="20:21" ht="14.25" customHeight="1" x14ac:dyDescent="0.35">
      <c r="T496" s="5"/>
      <c r="U496" s="5"/>
    </row>
    <row r="497" spans="20:21" ht="14.25" customHeight="1" x14ac:dyDescent="0.35">
      <c r="T497" s="5"/>
      <c r="U497" s="5"/>
    </row>
    <row r="498" spans="20:21" ht="14.25" customHeight="1" x14ac:dyDescent="0.35">
      <c r="T498" s="5"/>
      <c r="U498" s="5"/>
    </row>
    <row r="499" spans="20:21" ht="14.25" customHeight="1" x14ac:dyDescent="0.35">
      <c r="T499" s="5"/>
      <c r="U499" s="5"/>
    </row>
    <row r="500" spans="20:21" ht="14.25" customHeight="1" x14ac:dyDescent="0.35">
      <c r="T500" s="5"/>
      <c r="U500" s="5"/>
    </row>
    <row r="501" spans="20:21" ht="14.25" customHeight="1" x14ac:dyDescent="0.35">
      <c r="T501" s="5"/>
      <c r="U501" s="5"/>
    </row>
    <row r="502" spans="20:21" ht="14.25" customHeight="1" x14ac:dyDescent="0.35">
      <c r="T502" s="5"/>
      <c r="U502" s="5"/>
    </row>
    <row r="503" spans="20:21" ht="14.25" customHeight="1" x14ac:dyDescent="0.35">
      <c r="T503" s="5"/>
      <c r="U503" s="5"/>
    </row>
    <row r="504" spans="20:21" ht="14.25" customHeight="1" x14ac:dyDescent="0.35">
      <c r="T504" s="5"/>
      <c r="U504" s="5"/>
    </row>
    <row r="505" spans="20:21" ht="14.25" customHeight="1" x14ac:dyDescent="0.35">
      <c r="T505" s="5"/>
      <c r="U505" s="5"/>
    </row>
    <row r="506" spans="20:21" ht="14.25" customHeight="1" x14ac:dyDescent="0.35">
      <c r="T506" s="5"/>
      <c r="U506" s="5"/>
    </row>
    <row r="507" spans="20:21" ht="14.25" customHeight="1" x14ac:dyDescent="0.35">
      <c r="T507" s="5"/>
      <c r="U507" s="5"/>
    </row>
    <row r="508" spans="20:21" ht="14.25" customHeight="1" x14ac:dyDescent="0.35">
      <c r="T508" s="5"/>
      <c r="U508" s="5"/>
    </row>
    <row r="509" spans="20:21" ht="14.25" customHeight="1" x14ac:dyDescent="0.35">
      <c r="T509" s="5"/>
      <c r="U509" s="5"/>
    </row>
    <row r="510" spans="20:21" ht="14.25" customHeight="1" x14ac:dyDescent="0.35">
      <c r="T510" s="5"/>
      <c r="U510" s="5"/>
    </row>
    <row r="511" spans="20:21" ht="14.25" customHeight="1" x14ac:dyDescent="0.35">
      <c r="T511" s="5"/>
      <c r="U511" s="5"/>
    </row>
    <row r="512" spans="20:21" ht="14.25" customHeight="1" x14ac:dyDescent="0.35">
      <c r="T512" s="5"/>
      <c r="U512" s="5"/>
    </row>
    <row r="513" spans="20:21" ht="14.25" customHeight="1" x14ac:dyDescent="0.35">
      <c r="T513" s="5"/>
      <c r="U513" s="5"/>
    </row>
    <row r="514" spans="20:21" ht="14.25" customHeight="1" x14ac:dyDescent="0.35">
      <c r="T514" s="5"/>
      <c r="U514" s="5"/>
    </row>
    <row r="515" spans="20:21" ht="14.25" customHeight="1" x14ac:dyDescent="0.35">
      <c r="T515" s="5"/>
      <c r="U515" s="5"/>
    </row>
    <row r="516" spans="20:21" ht="14.25" customHeight="1" x14ac:dyDescent="0.35">
      <c r="T516" s="5"/>
      <c r="U516" s="5"/>
    </row>
    <row r="517" spans="20:21" ht="14.25" customHeight="1" x14ac:dyDescent="0.35">
      <c r="T517" s="5"/>
      <c r="U517" s="5"/>
    </row>
    <row r="518" spans="20:21" ht="14.25" customHeight="1" x14ac:dyDescent="0.35">
      <c r="T518" s="5"/>
      <c r="U518" s="5"/>
    </row>
    <row r="519" spans="20:21" ht="14.25" customHeight="1" x14ac:dyDescent="0.35">
      <c r="T519" s="5"/>
      <c r="U519" s="5"/>
    </row>
    <row r="520" spans="20:21" ht="14.25" customHeight="1" x14ac:dyDescent="0.35">
      <c r="T520" s="5"/>
      <c r="U520" s="5"/>
    </row>
    <row r="521" spans="20:21" ht="14.25" customHeight="1" x14ac:dyDescent="0.35">
      <c r="T521" s="5"/>
      <c r="U521" s="5"/>
    </row>
    <row r="522" spans="20:21" ht="14.25" customHeight="1" x14ac:dyDescent="0.35">
      <c r="T522" s="5"/>
      <c r="U522" s="5"/>
    </row>
    <row r="523" spans="20:21" ht="14.25" customHeight="1" x14ac:dyDescent="0.35">
      <c r="T523" s="5"/>
      <c r="U523" s="5"/>
    </row>
    <row r="524" spans="20:21" ht="14.25" customHeight="1" x14ac:dyDescent="0.35">
      <c r="T524" s="5"/>
      <c r="U524" s="5"/>
    </row>
    <row r="525" spans="20:21" ht="14.25" customHeight="1" x14ac:dyDescent="0.35">
      <c r="T525" s="5"/>
      <c r="U525" s="5"/>
    </row>
    <row r="526" spans="20:21" ht="14.25" customHeight="1" x14ac:dyDescent="0.35">
      <c r="T526" s="5"/>
      <c r="U526" s="5"/>
    </row>
    <row r="527" spans="20:21" ht="14.25" customHeight="1" x14ac:dyDescent="0.35">
      <c r="T527" s="5"/>
      <c r="U527" s="5"/>
    </row>
    <row r="528" spans="20:21" ht="14.25" customHeight="1" x14ac:dyDescent="0.35">
      <c r="T528" s="5"/>
      <c r="U528" s="5"/>
    </row>
    <row r="529" spans="20:21" ht="14.25" customHeight="1" x14ac:dyDescent="0.35">
      <c r="T529" s="5"/>
      <c r="U529" s="5"/>
    </row>
    <row r="530" spans="20:21" ht="14.25" customHeight="1" x14ac:dyDescent="0.35">
      <c r="T530" s="5"/>
      <c r="U530" s="5"/>
    </row>
    <row r="531" spans="20:21" ht="14.25" customHeight="1" x14ac:dyDescent="0.35">
      <c r="T531" s="5"/>
      <c r="U531" s="5"/>
    </row>
    <row r="532" spans="20:21" ht="14.25" customHeight="1" x14ac:dyDescent="0.35">
      <c r="T532" s="5"/>
      <c r="U532" s="5"/>
    </row>
    <row r="533" spans="20:21" ht="14.25" customHeight="1" x14ac:dyDescent="0.35">
      <c r="T533" s="5"/>
      <c r="U533" s="5"/>
    </row>
    <row r="534" spans="20:21" ht="14.25" customHeight="1" x14ac:dyDescent="0.35">
      <c r="T534" s="5"/>
      <c r="U534" s="5"/>
    </row>
    <row r="535" spans="20:21" ht="14.25" customHeight="1" x14ac:dyDescent="0.35">
      <c r="T535" s="5"/>
      <c r="U535" s="5"/>
    </row>
    <row r="536" spans="20:21" ht="14.25" customHeight="1" x14ac:dyDescent="0.35">
      <c r="T536" s="5"/>
      <c r="U536" s="5"/>
    </row>
    <row r="537" spans="20:21" ht="14.25" customHeight="1" x14ac:dyDescent="0.35">
      <c r="T537" s="5"/>
      <c r="U537" s="5"/>
    </row>
    <row r="538" spans="20:21" ht="14.25" customHeight="1" x14ac:dyDescent="0.35">
      <c r="T538" s="5"/>
      <c r="U538" s="5"/>
    </row>
    <row r="539" spans="20:21" ht="14.25" customHeight="1" x14ac:dyDescent="0.35">
      <c r="T539" s="5"/>
      <c r="U539" s="5"/>
    </row>
    <row r="540" spans="20:21" ht="14.25" customHeight="1" x14ac:dyDescent="0.35">
      <c r="T540" s="5"/>
      <c r="U540" s="5"/>
    </row>
    <row r="541" spans="20:21" ht="14.25" customHeight="1" x14ac:dyDescent="0.35">
      <c r="T541" s="5"/>
      <c r="U541" s="5"/>
    </row>
    <row r="542" spans="20:21" ht="14.25" customHeight="1" x14ac:dyDescent="0.35">
      <c r="T542" s="5"/>
      <c r="U542" s="5"/>
    </row>
    <row r="543" spans="20:21" ht="14.25" customHeight="1" x14ac:dyDescent="0.35">
      <c r="T543" s="5"/>
      <c r="U543" s="5"/>
    </row>
    <row r="544" spans="20:21" ht="14.25" customHeight="1" x14ac:dyDescent="0.35">
      <c r="T544" s="5"/>
      <c r="U544" s="5"/>
    </row>
    <row r="545" spans="20:21" ht="14.25" customHeight="1" x14ac:dyDescent="0.35">
      <c r="T545" s="5"/>
      <c r="U545" s="5"/>
    </row>
    <row r="546" spans="20:21" ht="14.25" customHeight="1" x14ac:dyDescent="0.35">
      <c r="T546" s="5"/>
      <c r="U546" s="5"/>
    </row>
    <row r="547" spans="20:21" ht="14.25" customHeight="1" x14ac:dyDescent="0.35">
      <c r="T547" s="5"/>
      <c r="U547" s="5"/>
    </row>
    <row r="548" spans="20:21" ht="14.25" customHeight="1" x14ac:dyDescent="0.35">
      <c r="T548" s="5"/>
      <c r="U548" s="5"/>
    </row>
    <row r="549" spans="20:21" ht="14.25" customHeight="1" x14ac:dyDescent="0.35">
      <c r="T549" s="5"/>
      <c r="U549" s="5"/>
    </row>
    <row r="550" spans="20:21" ht="14.25" customHeight="1" x14ac:dyDescent="0.35">
      <c r="T550" s="5"/>
      <c r="U550" s="5"/>
    </row>
    <row r="551" spans="20:21" ht="14.25" customHeight="1" x14ac:dyDescent="0.35">
      <c r="T551" s="5"/>
      <c r="U551" s="5"/>
    </row>
    <row r="552" spans="20:21" ht="14.25" customHeight="1" x14ac:dyDescent="0.35">
      <c r="T552" s="5"/>
      <c r="U552" s="5"/>
    </row>
    <row r="553" spans="20:21" ht="14.25" customHeight="1" x14ac:dyDescent="0.35">
      <c r="T553" s="5"/>
      <c r="U553" s="5"/>
    </row>
    <row r="554" spans="20:21" ht="14.25" customHeight="1" x14ac:dyDescent="0.35">
      <c r="T554" s="5"/>
      <c r="U554" s="5"/>
    </row>
    <row r="555" spans="20:21" ht="14.25" customHeight="1" x14ac:dyDescent="0.35">
      <c r="T555" s="5"/>
      <c r="U555" s="5"/>
    </row>
    <row r="556" spans="20:21" ht="14.25" customHeight="1" x14ac:dyDescent="0.35">
      <c r="T556" s="5"/>
      <c r="U556" s="5"/>
    </row>
    <row r="557" spans="20:21" ht="14.25" customHeight="1" x14ac:dyDescent="0.35">
      <c r="T557" s="5"/>
      <c r="U557" s="5"/>
    </row>
    <row r="558" spans="20:21" ht="14.25" customHeight="1" x14ac:dyDescent="0.35">
      <c r="T558" s="5"/>
      <c r="U558" s="5"/>
    </row>
    <row r="559" spans="20:21" ht="14.25" customHeight="1" x14ac:dyDescent="0.35">
      <c r="T559" s="5"/>
      <c r="U559" s="5"/>
    </row>
    <row r="560" spans="20:21" ht="14.25" customHeight="1" x14ac:dyDescent="0.35">
      <c r="T560" s="5"/>
      <c r="U560" s="5"/>
    </row>
    <row r="561" spans="20:21" ht="14.25" customHeight="1" x14ac:dyDescent="0.35">
      <c r="T561" s="5"/>
      <c r="U561" s="5"/>
    </row>
    <row r="562" spans="20:21" ht="14.25" customHeight="1" x14ac:dyDescent="0.35">
      <c r="T562" s="5"/>
      <c r="U562" s="5"/>
    </row>
    <row r="563" spans="20:21" ht="14.25" customHeight="1" x14ac:dyDescent="0.35">
      <c r="T563" s="5"/>
      <c r="U563" s="5"/>
    </row>
    <row r="564" spans="20:21" ht="14.25" customHeight="1" x14ac:dyDescent="0.35">
      <c r="T564" s="5"/>
      <c r="U564" s="5"/>
    </row>
    <row r="565" spans="20:21" ht="14.25" customHeight="1" x14ac:dyDescent="0.35">
      <c r="T565" s="5"/>
      <c r="U565" s="5"/>
    </row>
    <row r="566" spans="20:21" ht="14.25" customHeight="1" x14ac:dyDescent="0.35">
      <c r="T566" s="5"/>
      <c r="U566" s="5"/>
    </row>
    <row r="567" spans="20:21" ht="14.25" customHeight="1" x14ac:dyDescent="0.35">
      <c r="T567" s="5"/>
      <c r="U567" s="5"/>
    </row>
    <row r="568" spans="20:21" ht="14.25" customHeight="1" x14ac:dyDescent="0.35">
      <c r="T568" s="5"/>
      <c r="U568" s="5"/>
    </row>
    <row r="569" spans="20:21" ht="14.25" customHeight="1" x14ac:dyDescent="0.35">
      <c r="T569" s="5"/>
      <c r="U569" s="5"/>
    </row>
    <row r="570" spans="20:21" ht="14.25" customHeight="1" x14ac:dyDescent="0.35">
      <c r="T570" s="5"/>
      <c r="U570" s="5"/>
    </row>
    <row r="571" spans="20:21" ht="14.25" customHeight="1" x14ac:dyDescent="0.35">
      <c r="T571" s="5"/>
      <c r="U571" s="5"/>
    </row>
    <row r="572" spans="20:21" ht="14.25" customHeight="1" x14ac:dyDescent="0.35">
      <c r="T572" s="5"/>
      <c r="U572" s="5"/>
    </row>
    <row r="573" spans="20:21" ht="14.25" customHeight="1" x14ac:dyDescent="0.35">
      <c r="T573" s="5"/>
      <c r="U573" s="5"/>
    </row>
    <row r="574" spans="20:21" ht="14.25" customHeight="1" x14ac:dyDescent="0.35">
      <c r="T574" s="5"/>
      <c r="U574" s="5"/>
    </row>
    <row r="575" spans="20:21" ht="14.25" customHeight="1" x14ac:dyDescent="0.35">
      <c r="T575" s="5"/>
      <c r="U575" s="5"/>
    </row>
    <row r="576" spans="20:21" ht="14.25" customHeight="1" x14ac:dyDescent="0.35">
      <c r="T576" s="5"/>
      <c r="U576" s="5"/>
    </row>
    <row r="577" spans="20:21" ht="14.25" customHeight="1" x14ac:dyDescent="0.35">
      <c r="T577" s="5"/>
      <c r="U577" s="5"/>
    </row>
    <row r="578" spans="20:21" ht="14.25" customHeight="1" x14ac:dyDescent="0.35">
      <c r="T578" s="5"/>
      <c r="U578" s="5"/>
    </row>
    <row r="579" spans="20:21" ht="14.25" customHeight="1" x14ac:dyDescent="0.35">
      <c r="T579" s="5"/>
      <c r="U579" s="5"/>
    </row>
    <row r="580" spans="20:21" ht="14.25" customHeight="1" x14ac:dyDescent="0.35">
      <c r="T580" s="5"/>
      <c r="U580" s="5"/>
    </row>
    <row r="581" spans="20:21" ht="14.25" customHeight="1" x14ac:dyDescent="0.35">
      <c r="T581" s="5"/>
      <c r="U581" s="5"/>
    </row>
    <row r="582" spans="20:21" ht="14.25" customHeight="1" x14ac:dyDescent="0.35">
      <c r="T582" s="5"/>
      <c r="U582" s="5"/>
    </row>
    <row r="583" spans="20:21" ht="14.25" customHeight="1" x14ac:dyDescent="0.35">
      <c r="T583" s="5"/>
      <c r="U583" s="5"/>
    </row>
    <row r="584" spans="20:21" ht="14.25" customHeight="1" x14ac:dyDescent="0.35">
      <c r="T584" s="5"/>
      <c r="U584" s="5"/>
    </row>
    <row r="585" spans="20:21" ht="14.25" customHeight="1" x14ac:dyDescent="0.35">
      <c r="T585" s="5"/>
      <c r="U585" s="5"/>
    </row>
    <row r="586" spans="20:21" ht="14.25" customHeight="1" x14ac:dyDescent="0.35">
      <c r="T586" s="5"/>
      <c r="U586" s="5"/>
    </row>
    <row r="587" spans="20:21" ht="14.25" customHeight="1" x14ac:dyDescent="0.35">
      <c r="T587" s="5"/>
      <c r="U587" s="5"/>
    </row>
    <row r="588" spans="20:21" ht="14.25" customHeight="1" x14ac:dyDescent="0.35">
      <c r="T588" s="5"/>
      <c r="U588" s="5"/>
    </row>
    <row r="589" spans="20:21" ht="14.25" customHeight="1" x14ac:dyDescent="0.35">
      <c r="T589" s="5"/>
      <c r="U589" s="5"/>
    </row>
    <row r="590" spans="20:21" ht="14.25" customHeight="1" x14ac:dyDescent="0.35">
      <c r="T590" s="5"/>
      <c r="U590" s="5"/>
    </row>
    <row r="591" spans="20:21" ht="14.25" customHeight="1" x14ac:dyDescent="0.35">
      <c r="T591" s="5"/>
      <c r="U591" s="5"/>
    </row>
    <row r="592" spans="20:21" ht="14.25" customHeight="1" x14ac:dyDescent="0.35">
      <c r="T592" s="5"/>
      <c r="U592" s="5"/>
    </row>
    <row r="593" spans="20:21" ht="14.25" customHeight="1" x14ac:dyDescent="0.35">
      <c r="T593" s="5"/>
      <c r="U593" s="5"/>
    </row>
    <row r="594" spans="20:21" ht="14.25" customHeight="1" x14ac:dyDescent="0.35">
      <c r="T594" s="5"/>
      <c r="U594" s="5"/>
    </row>
    <row r="595" spans="20:21" ht="14.25" customHeight="1" x14ac:dyDescent="0.35">
      <c r="T595" s="5"/>
      <c r="U595" s="5"/>
    </row>
    <row r="596" spans="20:21" ht="14.25" customHeight="1" x14ac:dyDescent="0.35">
      <c r="T596" s="5"/>
      <c r="U596" s="5"/>
    </row>
    <row r="597" spans="20:21" ht="14.25" customHeight="1" x14ac:dyDescent="0.35">
      <c r="T597" s="5"/>
      <c r="U597" s="5"/>
    </row>
    <row r="598" spans="20:21" ht="14.25" customHeight="1" x14ac:dyDescent="0.35">
      <c r="T598" s="5"/>
      <c r="U598" s="5"/>
    </row>
    <row r="599" spans="20:21" ht="14.25" customHeight="1" x14ac:dyDescent="0.35">
      <c r="T599" s="5"/>
      <c r="U599" s="5"/>
    </row>
    <row r="600" spans="20:21" ht="14.25" customHeight="1" x14ac:dyDescent="0.35">
      <c r="T600" s="5"/>
      <c r="U600" s="5"/>
    </row>
    <row r="601" spans="20:21" ht="14.25" customHeight="1" x14ac:dyDescent="0.35">
      <c r="T601" s="5"/>
      <c r="U601" s="5"/>
    </row>
    <row r="602" spans="20:21" ht="14.25" customHeight="1" x14ac:dyDescent="0.35">
      <c r="T602" s="5"/>
      <c r="U602" s="5"/>
    </row>
    <row r="603" spans="20:21" ht="14.25" customHeight="1" x14ac:dyDescent="0.35">
      <c r="T603" s="5"/>
      <c r="U603" s="5"/>
    </row>
    <row r="604" spans="20:21" ht="14.25" customHeight="1" x14ac:dyDescent="0.35">
      <c r="T604" s="5"/>
      <c r="U604" s="5"/>
    </row>
    <row r="605" spans="20:21" ht="14.25" customHeight="1" x14ac:dyDescent="0.35">
      <c r="T605" s="5"/>
      <c r="U605" s="5"/>
    </row>
    <row r="606" spans="20:21" ht="14.25" customHeight="1" x14ac:dyDescent="0.35">
      <c r="T606" s="5"/>
      <c r="U606" s="5"/>
    </row>
    <row r="607" spans="20:21" ht="14.25" customHeight="1" x14ac:dyDescent="0.35">
      <c r="T607" s="5"/>
      <c r="U607" s="5"/>
    </row>
    <row r="608" spans="20:21" ht="14.25" customHeight="1" x14ac:dyDescent="0.35">
      <c r="T608" s="5"/>
      <c r="U608" s="5"/>
    </row>
    <row r="609" spans="20:21" ht="14.25" customHeight="1" x14ac:dyDescent="0.35">
      <c r="T609" s="5"/>
      <c r="U609" s="5"/>
    </row>
    <row r="610" spans="20:21" ht="14.25" customHeight="1" x14ac:dyDescent="0.35">
      <c r="T610" s="5"/>
      <c r="U610" s="5"/>
    </row>
    <row r="611" spans="20:21" ht="14.25" customHeight="1" x14ac:dyDescent="0.35">
      <c r="T611" s="5"/>
      <c r="U611" s="5"/>
    </row>
    <row r="612" spans="20:21" ht="14.25" customHeight="1" x14ac:dyDescent="0.35">
      <c r="T612" s="5"/>
      <c r="U612" s="5"/>
    </row>
    <row r="613" spans="20:21" ht="14.25" customHeight="1" x14ac:dyDescent="0.35">
      <c r="T613" s="5"/>
      <c r="U613" s="5"/>
    </row>
    <row r="614" spans="20:21" ht="14.25" customHeight="1" x14ac:dyDescent="0.35">
      <c r="T614" s="5"/>
      <c r="U614" s="5"/>
    </row>
    <row r="615" spans="20:21" ht="14.25" customHeight="1" x14ac:dyDescent="0.35">
      <c r="T615" s="5"/>
      <c r="U615" s="5"/>
    </row>
    <row r="616" spans="20:21" ht="14.25" customHeight="1" x14ac:dyDescent="0.35">
      <c r="T616" s="5"/>
      <c r="U616" s="5"/>
    </row>
    <row r="617" spans="20:21" ht="14.25" customHeight="1" x14ac:dyDescent="0.35">
      <c r="T617" s="5"/>
      <c r="U617" s="5"/>
    </row>
    <row r="618" spans="20:21" ht="14.25" customHeight="1" x14ac:dyDescent="0.35">
      <c r="T618" s="5"/>
      <c r="U618" s="5"/>
    </row>
    <row r="619" spans="20:21" ht="14.25" customHeight="1" x14ac:dyDescent="0.35">
      <c r="T619" s="5"/>
      <c r="U619" s="5"/>
    </row>
    <row r="620" spans="20:21" ht="14.25" customHeight="1" x14ac:dyDescent="0.35">
      <c r="T620" s="5"/>
      <c r="U620" s="5"/>
    </row>
    <row r="621" spans="20:21" ht="14.25" customHeight="1" x14ac:dyDescent="0.35">
      <c r="T621" s="5"/>
      <c r="U621" s="5"/>
    </row>
    <row r="622" spans="20:21" ht="14.25" customHeight="1" x14ac:dyDescent="0.35">
      <c r="T622" s="5"/>
      <c r="U622" s="5"/>
    </row>
    <row r="623" spans="20:21" ht="14.25" customHeight="1" x14ac:dyDescent="0.35">
      <c r="T623" s="5"/>
      <c r="U623" s="5"/>
    </row>
    <row r="624" spans="20:21" ht="14.25" customHeight="1" x14ac:dyDescent="0.35">
      <c r="T624" s="5"/>
      <c r="U624" s="5"/>
    </row>
    <row r="625" spans="20:21" ht="14.25" customHeight="1" x14ac:dyDescent="0.35">
      <c r="T625" s="5"/>
      <c r="U625" s="5"/>
    </row>
    <row r="626" spans="20:21" ht="14.25" customHeight="1" x14ac:dyDescent="0.35">
      <c r="T626" s="5"/>
      <c r="U626" s="5"/>
    </row>
    <row r="627" spans="20:21" ht="14.25" customHeight="1" x14ac:dyDescent="0.35">
      <c r="T627" s="5"/>
      <c r="U627" s="5"/>
    </row>
    <row r="628" spans="20:21" ht="14.25" customHeight="1" x14ac:dyDescent="0.35">
      <c r="T628" s="5"/>
      <c r="U628" s="5"/>
    </row>
    <row r="629" spans="20:21" ht="14.25" customHeight="1" x14ac:dyDescent="0.35">
      <c r="T629" s="5"/>
      <c r="U629" s="5"/>
    </row>
    <row r="630" spans="20:21" ht="14.25" customHeight="1" x14ac:dyDescent="0.35">
      <c r="T630" s="5"/>
      <c r="U630" s="5"/>
    </row>
    <row r="631" spans="20:21" ht="14.25" customHeight="1" x14ac:dyDescent="0.35">
      <c r="T631" s="5"/>
      <c r="U631" s="5"/>
    </row>
    <row r="632" spans="20:21" ht="14.25" customHeight="1" x14ac:dyDescent="0.35">
      <c r="T632" s="5"/>
      <c r="U632" s="5"/>
    </row>
    <row r="633" spans="20:21" ht="14.25" customHeight="1" x14ac:dyDescent="0.35">
      <c r="T633" s="5"/>
      <c r="U633" s="5"/>
    </row>
    <row r="634" spans="20:21" ht="14.25" customHeight="1" x14ac:dyDescent="0.35">
      <c r="T634" s="5"/>
      <c r="U634" s="5"/>
    </row>
    <row r="635" spans="20:21" ht="14.25" customHeight="1" x14ac:dyDescent="0.35">
      <c r="T635" s="5"/>
      <c r="U635" s="5"/>
    </row>
    <row r="636" spans="20:21" ht="14.25" customHeight="1" x14ac:dyDescent="0.35">
      <c r="T636" s="5"/>
      <c r="U636" s="5"/>
    </row>
    <row r="637" spans="20:21" ht="14.25" customHeight="1" x14ac:dyDescent="0.35">
      <c r="T637" s="5"/>
      <c r="U637" s="5"/>
    </row>
    <row r="638" spans="20:21" ht="14.25" customHeight="1" x14ac:dyDescent="0.35">
      <c r="T638" s="5"/>
      <c r="U638" s="5"/>
    </row>
    <row r="639" spans="20:21" ht="14.25" customHeight="1" x14ac:dyDescent="0.35">
      <c r="T639" s="5"/>
      <c r="U639" s="5"/>
    </row>
    <row r="640" spans="20:21" ht="14.25" customHeight="1" x14ac:dyDescent="0.35">
      <c r="T640" s="5"/>
      <c r="U640" s="5"/>
    </row>
    <row r="641" spans="20:21" ht="14.25" customHeight="1" x14ac:dyDescent="0.35">
      <c r="T641" s="5"/>
      <c r="U641" s="5"/>
    </row>
    <row r="642" spans="20:21" ht="14.25" customHeight="1" x14ac:dyDescent="0.35">
      <c r="T642" s="5"/>
      <c r="U642" s="5"/>
    </row>
    <row r="643" spans="20:21" ht="14.25" customHeight="1" x14ac:dyDescent="0.35">
      <c r="T643" s="5"/>
      <c r="U643" s="5"/>
    </row>
    <row r="644" spans="20:21" ht="14.25" customHeight="1" x14ac:dyDescent="0.35">
      <c r="T644" s="5"/>
      <c r="U644" s="5"/>
    </row>
    <row r="645" spans="20:21" ht="14.25" customHeight="1" x14ac:dyDescent="0.35">
      <c r="T645" s="5"/>
      <c r="U645" s="5"/>
    </row>
    <row r="646" spans="20:21" ht="14.25" customHeight="1" x14ac:dyDescent="0.35">
      <c r="T646" s="5"/>
      <c r="U646" s="5"/>
    </row>
    <row r="647" spans="20:21" ht="14.25" customHeight="1" x14ac:dyDescent="0.35">
      <c r="T647" s="5"/>
      <c r="U647" s="5"/>
    </row>
    <row r="648" spans="20:21" ht="14.25" customHeight="1" x14ac:dyDescent="0.35">
      <c r="T648" s="5"/>
      <c r="U648" s="5"/>
    </row>
    <row r="649" spans="20:21" ht="14.25" customHeight="1" x14ac:dyDescent="0.35">
      <c r="T649" s="5"/>
      <c r="U649" s="5"/>
    </row>
    <row r="650" spans="20:21" ht="14.25" customHeight="1" x14ac:dyDescent="0.35">
      <c r="T650" s="5"/>
      <c r="U650" s="5"/>
    </row>
    <row r="651" spans="20:21" ht="14.25" customHeight="1" x14ac:dyDescent="0.35">
      <c r="T651" s="5"/>
      <c r="U651" s="5"/>
    </row>
    <row r="652" spans="20:21" ht="14.25" customHeight="1" x14ac:dyDescent="0.35">
      <c r="T652" s="5"/>
      <c r="U652" s="5"/>
    </row>
    <row r="653" spans="20:21" ht="14.25" customHeight="1" x14ac:dyDescent="0.35">
      <c r="T653" s="5"/>
      <c r="U653" s="5"/>
    </row>
    <row r="654" spans="20:21" ht="14.25" customHeight="1" x14ac:dyDescent="0.35">
      <c r="T654" s="5"/>
      <c r="U654" s="5"/>
    </row>
    <row r="655" spans="20:21" ht="14.25" customHeight="1" x14ac:dyDescent="0.35">
      <c r="T655" s="5"/>
      <c r="U655" s="5"/>
    </row>
    <row r="656" spans="20:21" ht="14.25" customHeight="1" x14ac:dyDescent="0.35">
      <c r="T656" s="5"/>
      <c r="U656" s="5"/>
    </row>
    <row r="657" spans="20:21" ht="14.25" customHeight="1" x14ac:dyDescent="0.35">
      <c r="T657" s="5"/>
      <c r="U657" s="5"/>
    </row>
    <row r="658" spans="20:21" ht="14.25" customHeight="1" x14ac:dyDescent="0.35">
      <c r="T658" s="5"/>
      <c r="U658" s="5"/>
    </row>
    <row r="659" spans="20:21" ht="14.25" customHeight="1" x14ac:dyDescent="0.35">
      <c r="T659" s="5"/>
      <c r="U659" s="5"/>
    </row>
    <row r="660" spans="20:21" ht="14.25" customHeight="1" x14ac:dyDescent="0.35">
      <c r="T660" s="5"/>
      <c r="U660" s="5"/>
    </row>
    <row r="661" spans="20:21" ht="14.25" customHeight="1" x14ac:dyDescent="0.35">
      <c r="T661" s="5"/>
      <c r="U661" s="5"/>
    </row>
    <row r="662" spans="20:21" ht="14.25" customHeight="1" x14ac:dyDescent="0.35">
      <c r="T662" s="5"/>
      <c r="U662" s="5"/>
    </row>
    <row r="663" spans="20:21" ht="14.25" customHeight="1" x14ac:dyDescent="0.35">
      <c r="T663" s="5"/>
      <c r="U663" s="5"/>
    </row>
    <row r="664" spans="20:21" ht="14.25" customHeight="1" x14ac:dyDescent="0.35">
      <c r="T664" s="5"/>
      <c r="U664" s="5"/>
    </row>
    <row r="665" spans="20:21" ht="14.25" customHeight="1" x14ac:dyDescent="0.35">
      <c r="T665" s="5"/>
      <c r="U665" s="5"/>
    </row>
    <row r="666" spans="20:21" ht="14.25" customHeight="1" x14ac:dyDescent="0.35">
      <c r="T666" s="5"/>
      <c r="U666" s="5"/>
    </row>
    <row r="667" spans="20:21" ht="14.25" customHeight="1" x14ac:dyDescent="0.35">
      <c r="T667" s="5"/>
      <c r="U667" s="5"/>
    </row>
    <row r="668" spans="20:21" ht="14.25" customHeight="1" x14ac:dyDescent="0.35">
      <c r="T668" s="5"/>
      <c r="U668" s="5"/>
    </row>
    <row r="669" spans="20:21" ht="14.25" customHeight="1" x14ac:dyDescent="0.35">
      <c r="T669" s="5"/>
      <c r="U669" s="5"/>
    </row>
    <row r="670" spans="20:21" ht="14.25" customHeight="1" x14ac:dyDescent="0.35">
      <c r="T670" s="5"/>
      <c r="U670" s="5"/>
    </row>
    <row r="671" spans="20:21" ht="14.25" customHeight="1" x14ac:dyDescent="0.35">
      <c r="T671" s="5"/>
      <c r="U671" s="5"/>
    </row>
    <row r="672" spans="20:21" ht="14.25" customHeight="1" x14ac:dyDescent="0.35">
      <c r="T672" s="5"/>
      <c r="U672" s="5"/>
    </row>
    <row r="673" spans="20:21" ht="14.25" customHeight="1" x14ac:dyDescent="0.35">
      <c r="T673" s="5"/>
      <c r="U673" s="5"/>
    </row>
    <row r="674" spans="20:21" ht="14.25" customHeight="1" x14ac:dyDescent="0.35">
      <c r="T674" s="5"/>
      <c r="U674" s="5"/>
    </row>
    <row r="675" spans="20:21" ht="14.25" customHeight="1" x14ac:dyDescent="0.35">
      <c r="T675" s="5"/>
      <c r="U675" s="5"/>
    </row>
    <row r="676" spans="20:21" ht="14.25" customHeight="1" x14ac:dyDescent="0.35">
      <c r="T676" s="5"/>
      <c r="U676" s="5"/>
    </row>
    <row r="677" spans="20:21" ht="14.25" customHeight="1" x14ac:dyDescent="0.35">
      <c r="T677" s="5"/>
      <c r="U677" s="5"/>
    </row>
    <row r="678" spans="20:21" ht="14.25" customHeight="1" x14ac:dyDescent="0.35">
      <c r="T678" s="5"/>
      <c r="U678" s="5"/>
    </row>
    <row r="679" spans="20:21" ht="14.25" customHeight="1" x14ac:dyDescent="0.35">
      <c r="T679" s="5"/>
      <c r="U679" s="5"/>
    </row>
    <row r="680" spans="20:21" ht="14.25" customHeight="1" x14ac:dyDescent="0.35">
      <c r="T680" s="5"/>
      <c r="U680" s="5"/>
    </row>
    <row r="681" spans="20:21" ht="14.25" customHeight="1" x14ac:dyDescent="0.35">
      <c r="T681" s="5"/>
      <c r="U681" s="5"/>
    </row>
    <row r="682" spans="20:21" ht="14.25" customHeight="1" x14ac:dyDescent="0.35">
      <c r="T682" s="5"/>
      <c r="U682" s="5"/>
    </row>
    <row r="683" spans="20:21" ht="14.25" customHeight="1" x14ac:dyDescent="0.35">
      <c r="T683" s="5"/>
      <c r="U683" s="5"/>
    </row>
    <row r="684" spans="20:21" ht="14.25" customHeight="1" x14ac:dyDescent="0.35">
      <c r="T684" s="5"/>
      <c r="U684" s="5"/>
    </row>
    <row r="685" spans="20:21" ht="14.25" customHeight="1" x14ac:dyDescent="0.35">
      <c r="T685" s="5"/>
      <c r="U685" s="5"/>
    </row>
    <row r="686" spans="20:21" ht="14.25" customHeight="1" x14ac:dyDescent="0.35">
      <c r="T686" s="5"/>
      <c r="U686" s="5"/>
    </row>
    <row r="687" spans="20:21" ht="14.25" customHeight="1" x14ac:dyDescent="0.35">
      <c r="T687" s="5"/>
      <c r="U687" s="5"/>
    </row>
    <row r="688" spans="20:21" ht="14.25" customHeight="1" x14ac:dyDescent="0.35">
      <c r="T688" s="5"/>
      <c r="U688" s="5"/>
    </row>
    <row r="689" spans="20:21" ht="14.25" customHeight="1" x14ac:dyDescent="0.35">
      <c r="T689" s="5"/>
      <c r="U689" s="5"/>
    </row>
    <row r="690" spans="20:21" ht="14.25" customHeight="1" x14ac:dyDescent="0.35">
      <c r="T690" s="5"/>
      <c r="U690" s="5"/>
    </row>
    <row r="691" spans="20:21" ht="14.25" customHeight="1" x14ac:dyDescent="0.35">
      <c r="T691" s="5"/>
      <c r="U691" s="5"/>
    </row>
    <row r="692" spans="20:21" ht="14.25" customHeight="1" x14ac:dyDescent="0.35">
      <c r="T692" s="5"/>
      <c r="U692" s="5"/>
    </row>
    <row r="693" spans="20:21" ht="14.25" customHeight="1" x14ac:dyDescent="0.35">
      <c r="T693" s="5"/>
      <c r="U693" s="5"/>
    </row>
    <row r="694" spans="20:21" ht="14.25" customHeight="1" x14ac:dyDescent="0.35">
      <c r="T694" s="5"/>
      <c r="U694" s="5"/>
    </row>
    <row r="695" spans="20:21" ht="14.25" customHeight="1" x14ac:dyDescent="0.35">
      <c r="T695" s="5"/>
      <c r="U695" s="5"/>
    </row>
    <row r="696" spans="20:21" ht="14.25" customHeight="1" x14ac:dyDescent="0.35">
      <c r="T696" s="5"/>
      <c r="U696" s="5"/>
    </row>
    <row r="697" spans="20:21" ht="14.25" customHeight="1" x14ac:dyDescent="0.35">
      <c r="T697" s="5"/>
      <c r="U697" s="5"/>
    </row>
    <row r="698" spans="20:21" ht="14.25" customHeight="1" x14ac:dyDescent="0.35">
      <c r="T698" s="5"/>
      <c r="U698" s="5"/>
    </row>
    <row r="699" spans="20:21" ht="14.25" customHeight="1" x14ac:dyDescent="0.35">
      <c r="T699" s="5"/>
      <c r="U699" s="5"/>
    </row>
    <row r="700" spans="20:21" ht="14.25" customHeight="1" x14ac:dyDescent="0.35">
      <c r="T700" s="5"/>
      <c r="U700" s="5"/>
    </row>
    <row r="701" spans="20:21" ht="14.25" customHeight="1" x14ac:dyDescent="0.35">
      <c r="T701" s="5"/>
      <c r="U701" s="5"/>
    </row>
    <row r="702" spans="20:21" ht="14.25" customHeight="1" x14ac:dyDescent="0.35">
      <c r="T702" s="5"/>
      <c r="U702" s="5"/>
    </row>
    <row r="703" spans="20:21" ht="14.25" customHeight="1" x14ac:dyDescent="0.35">
      <c r="T703" s="5"/>
      <c r="U703" s="5"/>
    </row>
    <row r="704" spans="20:21" ht="14.25" customHeight="1" x14ac:dyDescent="0.35">
      <c r="T704" s="5"/>
      <c r="U704" s="5"/>
    </row>
    <row r="705" spans="20:21" ht="14.25" customHeight="1" x14ac:dyDescent="0.35">
      <c r="T705" s="5"/>
      <c r="U705" s="5"/>
    </row>
    <row r="706" spans="20:21" ht="14.25" customHeight="1" x14ac:dyDescent="0.35">
      <c r="T706" s="5"/>
      <c r="U706" s="5"/>
    </row>
    <row r="707" spans="20:21" ht="14.25" customHeight="1" x14ac:dyDescent="0.35">
      <c r="T707" s="5"/>
      <c r="U707" s="5"/>
    </row>
    <row r="708" spans="20:21" ht="14.25" customHeight="1" x14ac:dyDescent="0.35">
      <c r="T708" s="5"/>
      <c r="U708" s="5"/>
    </row>
    <row r="709" spans="20:21" ht="14.25" customHeight="1" x14ac:dyDescent="0.35">
      <c r="T709" s="5"/>
      <c r="U709" s="5"/>
    </row>
    <row r="710" spans="20:21" ht="14.25" customHeight="1" x14ac:dyDescent="0.35">
      <c r="T710" s="5"/>
      <c r="U710" s="5"/>
    </row>
    <row r="711" spans="20:21" ht="14.25" customHeight="1" x14ac:dyDescent="0.35">
      <c r="T711" s="5"/>
      <c r="U711" s="5"/>
    </row>
    <row r="712" spans="20:21" ht="14.25" customHeight="1" x14ac:dyDescent="0.35">
      <c r="T712" s="5"/>
      <c r="U712" s="5"/>
    </row>
    <row r="713" spans="20:21" ht="14.25" customHeight="1" x14ac:dyDescent="0.35">
      <c r="T713" s="5"/>
      <c r="U713" s="5"/>
    </row>
    <row r="714" spans="20:21" ht="14.25" customHeight="1" x14ac:dyDescent="0.35">
      <c r="T714" s="5"/>
      <c r="U714" s="5"/>
    </row>
    <row r="715" spans="20:21" ht="14.25" customHeight="1" x14ac:dyDescent="0.35">
      <c r="T715" s="5"/>
      <c r="U715" s="5"/>
    </row>
    <row r="716" spans="20:21" ht="14.25" customHeight="1" x14ac:dyDescent="0.35">
      <c r="T716" s="5"/>
      <c r="U716" s="5"/>
    </row>
    <row r="717" spans="20:21" ht="14.25" customHeight="1" x14ac:dyDescent="0.35">
      <c r="T717" s="5"/>
      <c r="U717" s="5"/>
    </row>
    <row r="718" spans="20:21" ht="14.25" customHeight="1" x14ac:dyDescent="0.35">
      <c r="T718" s="5"/>
      <c r="U718" s="5"/>
    </row>
    <row r="719" spans="20:21" ht="14.25" customHeight="1" x14ac:dyDescent="0.35">
      <c r="T719" s="5"/>
      <c r="U719" s="5"/>
    </row>
    <row r="720" spans="20:21" ht="14.25" customHeight="1" x14ac:dyDescent="0.35">
      <c r="T720" s="5"/>
      <c r="U720" s="5"/>
    </row>
    <row r="721" spans="20:21" ht="14.25" customHeight="1" x14ac:dyDescent="0.35">
      <c r="T721" s="5"/>
      <c r="U721" s="5"/>
    </row>
    <row r="722" spans="20:21" ht="14.25" customHeight="1" x14ac:dyDescent="0.35">
      <c r="T722" s="5"/>
      <c r="U722" s="5"/>
    </row>
    <row r="723" spans="20:21" ht="14.25" customHeight="1" x14ac:dyDescent="0.35">
      <c r="T723" s="5"/>
      <c r="U723" s="5"/>
    </row>
    <row r="724" spans="20:21" ht="14.25" customHeight="1" x14ac:dyDescent="0.35">
      <c r="T724" s="5"/>
      <c r="U724" s="5"/>
    </row>
    <row r="725" spans="20:21" ht="14.25" customHeight="1" x14ac:dyDescent="0.35">
      <c r="T725" s="5"/>
      <c r="U725" s="5"/>
    </row>
    <row r="726" spans="20:21" ht="14.25" customHeight="1" x14ac:dyDescent="0.35">
      <c r="T726" s="5"/>
      <c r="U726" s="5"/>
    </row>
    <row r="727" spans="20:21" ht="14.25" customHeight="1" x14ac:dyDescent="0.35">
      <c r="T727" s="5"/>
      <c r="U727" s="5"/>
    </row>
    <row r="728" spans="20:21" ht="14.25" customHeight="1" x14ac:dyDescent="0.35">
      <c r="T728" s="5"/>
      <c r="U728" s="5"/>
    </row>
    <row r="729" spans="20:21" ht="14.25" customHeight="1" x14ac:dyDescent="0.35">
      <c r="T729" s="5"/>
      <c r="U729" s="5"/>
    </row>
    <row r="730" spans="20:21" ht="14.25" customHeight="1" x14ac:dyDescent="0.35">
      <c r="T730" s="5"/>
      <c r="U730" s="5"/>
    </row>
    <row r="731" spans="20:21" ht="14.25" customHeight="1" x14ac:dyDescent="0.35">
      <c r="T731" s="5"/>
      <c r="U731" s="5"/>
    </row>
    <row r="732" spans="20:21" ht="14.25" customHeight="1" x14ac:dyDescent="0.35">
      <c r="T732" s="5"/>
      <c r="U732" s="5"/>
    </row>
    <row r="733" spans="20:21" ht="14.25" customHeight="1" x14ac:dyDescent="0.35">
      <c r="T733" s="5"/>
      <c r="U733" s="5"/>
    </row>
    <row r="734" spans="20:21" ht="14.25" customHeight="1" x14ac:dyDescent="0.35">
      <c r="T734" s="5"/>
      <c r="U734" s="5"/>
    </row>
    <row r="735" spans="20:21" ht="14.25" customHeight="1" x14ac:dyDescent="0.35">
      <c r="T735" s="5"/>
      <c r="U735" s="5"/>
    </row>
    <row r="736" spans="20:21" ht="14.25" customHeight="1" x14ac:dyDescent="0.35">
      <c r="T736" s="5"/>
      <c r="U736" s="5"/>
    </row>
    <row r="737" spans="20:21" ht="14.25" customHeight="1" x14ac:dyDescent="0.35">
      <c r="T737" s="5"/>
      <c r="U737" s="5"/>
    </row>
    <row r="738" spans="20:21" ht="14.25" customHeight="1" x14ac:dyDescent="0.35">
      <c r="T738" s="5"/>
      <c r="U738" s="5"/>
    </row>
    <row r="739" spans="20:21" ht="14.25" customHeight="1" x14ac:dyDescent="0.35">
      <c r="T739" s="5"/>
      <c r="U739" s="5"/>
    </row>
    <row r="740" spans="20:21" ht="14.25" customHeight="1" x14ac:dyDescent="0.35">
      <c r="T740" s="5"/>
      <c r="U740" s="5"/>
    </row>
    <row r="741" spans="20:21" ht="14.25" customHeight="1" x14ac:dyDescent="0.35">
      <c r="T741" s="5"/>
      <c r="U741" s="5"/>
    </row>
    <row r="742" spans="20:21" ht="14.25" customHeight="1" x14ac:dyDescent="0.35">
      <c r="T742" s="5"/>
      <c r="U742" s="5"/>
    </row>
    <row r="743" spans="20:21" ht="14.25" customHeight="1" x14ac:dyDescent="0.35">
      <c r="T743" s="5"/>
      <c r="U743" s="5"/>
    </row>
    <row r="744" spans="20:21" ht="14.25" customHeight="1" x14ac:dyDescent="0.35">
      <c r="T744" s="5"/>
      <c r="U744" s="5"/>
    </row>
    <row r="745" spans="20:21" ht="14.25" customHeight="1" x14ac:dyDescent="0.35">
      <c r="T745" s="5"/>
      <c r="U745" s="5"/>
    </row>
    <row r="746" spans="20:21" ht="14.25" customHeight="1" x14ac:dyDescent="0.35">
      <c r="T746" s="5"/>
      <c r="U746" s="5"/>
    </row>
    <row r="747" spans="20:21" ht="14.25" customHeight="1" x14ac:dyDescent="0.35">
      <c r="T747" s="5"/>
      <c r="U747" s="5"/>
    </row>
    <row r="748" spans="20:21" ht="14.25" customHeight="1" x14ac:dyDescent="0.35">
      <c r="T748" s="5"/>
      <c r="U748" s="5"/>
    </row>
    <row r="749" spans="20:21" ht="14.25" customHeight="1" x14ac:dyDescent="0.35">
      <c r="T749" s="5"/>
      <c r="U749" s="5"/>
    </row>
    <row r="750" spans="20:21" ht="14.25" customHeight="1" x14ac:dyDescent="0.35">
      <c r="T750" s="5"/>
      <c r="U750" s="5"/>
    </row>
    <row r="751" spans="20:21" ht="14.25" customHeight="1" x14ac:dyDescent="0.35">
      <c r="T751" s="5"/>
      <c r="U751" s="5"/>
    </row>
    <row r="752" spans="20:21" ht="14.25" customHeight="1" x14ac:dyDescent="0.35">
      <c r="T752" s="5"/>
      <c r="U752" s="5"/>
    </row>
    <row r="753" spans="20:21" ht="14.25" customHeight="1" x14ac:dyDescent="0.35">
      <c r="T753" s="5"/>
      <c r="U753" s="5"/>
    </row>
    <row r="754" spans="20:21" ht="14.25" customHeight="1" x14ac:dyDescent="0.35">
      <c r="T754" s="5"/>
      <c r="U754" s="5"/>
    </row>
    <row r="755" spans="20:21" ht="14.25" customHeight="1" x14ac:dyDescent="0.35">
      <c r="T755" s="5"/>
      <c r="U755" s="5"/>
    </row>
    <row r="756" spans="20:21" ht="14.25" customHeight="1" x14ac:dyDescent="0.35">
      <c r="T756" s="5"/>
      <c r="U756" s="5"/>
    </row>
    <row r="757" spans="20:21" ht="14.25" customHeight="1" x14ac:dyDescent="0.35">
      <c r="T757" s="5"/>
      <c r="U757" s="5"/>
    </row>
    <row r="758" spans="20:21" ht="14.25" customHeight="1" x14ac:dyDescent="0.35">
      <c r="T758" s="5"/>
      <c r="U758" s="5"/>
    </row>
    <row r="759" spans="20:21" ht="14.25" customHeight="1" x14ac:dyDescent="0.35">
      <c r="T759" s="5"/>
      <c r="U759" s="5"/>
    </row>
    <row r="760" spans="20:21" ht="14.25" customHeight="1" x14ac:dyDescent="0.35">
      <c r="T760" s="5"/>
      <c r="U760" s="5"/>
    </row>
    <row r="761" spans="20:21" ht="14.25" customHeight="1" x14ac:dyDescent="0.35">
      <c r="T761" s="5"/>
      <c r="U761" s="5"/>
    </row>
    <row r="762" spans="20:21" ht="14.25" customHeight="1" x14ac:dyDescent="0.35">
      <c r="T762" s="5"/>
      <c r="U762" s="5"/>
    </row>
    <row r="763" spans="20:21" ht="14.25" customHeight="1" x14ac:dyDescent="0.35">
      <c r="T763" s="5"/>
      <c r="U763" s="5"/>
    </row>
    <row r="764" spans="20:21" ht="14.25" customHeight="1" x14ac:dyDescent="0.35">
      <c r="T764" s="5"/>
      <c r="U764" s="5"/>
    </row>
    <row r="765" spans="20:21" ht="14.25" customHeight="1" x14ac:dyDescent="0.35">
      <c r="T765" s="5"/>
      <c r="U765" s="5"/>
    </row>
    <row r="766" spans="20:21" ht="14.25" customHeight="1" x14ac:dyDescent="0.35">
      <c r="T766" s="5"/>
      <c r="U766" s="5"/>
    </row>
    <row r="767" spans="20:21" ht="14.25" customHeight="1" x14ac:dyDescent="0.35">
      <c r="T767" s="5"/>
      <c r="U767" s="5"/>
    </row>
    <row r="768" spans="20:21" ht="14.25" customHeight="1" x14ac:dyDescent="0.35">
      <c r="T768" s="5"/>
      <c r="U768" s="5"/>
    </row>
    <row r="769" spans="20:21" ht="14.25" customHeight="1" x14ac:dyDescent="0.35">
      <c r="T769" s="5"/>
      <c r="U769" s="5"/>
    </row>
    <row r="770" spans="20:21" ht="14.25" customHeight="1" x14ac:dyDescent="0.35">
      <c r="T770" s="5"/>
      <c r="U770" s="5"/>
    </row>
    <row r="771" spans="20:21" ht="14.25" customHeight="1" x14ac:dyDescent="0.35">
      <c r="T771" s="5"/>
      <c r="U771" s="5"/>
    </row>
    <row r="772" spans="20:21" ht="14.25" customHeight="1" x14ac:dyDescent="0.35">
      <c r="T772" s="5"/>
      <c r="U772" s="5"/>
    </row>
    <row r="773" spans="20:21" ht="14.25" customHeight="1" x14ac:dyDescent="0.35">
      <c r="T773" s="5"/>
      <c r="U773" s="5"/>
    </row>
    <row r="774" spans="20:21" ht="14.25" customHeight="1" x14ac:dyDescent="0.35">
      <c r="T774" s="5"/>
      <c r="U774" s="5"/>
    </row>
    <row r="775" spans="20:21" ht="14.25" customHeight="1" x14ac:dyDescent="0.35">
      <c r="T775" s="5"/>
      <c r="U775" s="5"/>
    </row>
    <row r="776" spans="20:21" ht="14.25" customHeight="1" x14ac:dyDescent="0.35">
      <c r="T776" s="5"/>
      <c r="U776" s="5"/>
    </row>
    <row r="777" spans="20:21" ht="14.25" customHeight="1" x14ac:dyDescent="0.35">
      <c r="T777" s="5"/>
      <c r="U777" s="5"/>
    </row>
    <row r="778" spans="20:21" ht="14.25" customHeight="1" x14ac:dyDescent="0.35">
      <c r="T778" s="5"/>
      <c r="U778" s="5"/>
    </row>
    <row r="779" spans="20:21" ht="14.25" customHeight="1" x14ac:dyDescent="0.35">
      <c r="T779" s="5"/>
      <c r="U779" s="5"/>
    </row>
    <row r="780" spans="20:21" ht="14.25" customHeight="1" x14ac:dyDescent="0.35">
      <c r="T780" s="5"/>
      <c r="U780" s="5"/>
    </row>
    <row r="781" spans="20:21" ht="14.25" customHeight="1" x14ac:dyDescent="0.35">
      <c r="T781" s="5"/>
      <c r="U781" s="5"/>
    </row>
    <row r="782" spans="20:21" ht="14.25" customHeight="1" x14ac:dyDescent="0.35">
      <c r="T782" s="5"/>
      <c r="U782" s="5"/>
    </row>
    <row r="783" spans="20:21" ht="14.25" customHeight="1" x14ac:dyDescent="0.35">
      <c r="T783" s="5"/>
      <c r="U783" s="5"/>
    </row>
    <row r="784" spans="20:21" ht="14.25" customHeight="1" x14ac:dyDescent="0.35">
      <c r="T784" s="5"/>
      <c r="U784" s="5"/>
    </row>
    <row r="785" spans="20:21" ht="14.25" customHeight="1" x14ac:dyDescent="0.35">
      <c r="T785" s="5"/>
      <c r="U785" s="5"/>
    </row>
    <row r="786" spans="20:21" ht="14.25" customHeight="1" x14ac:dyDescent="0.35">
      <c r="T786" s="5"/>
      <c r="U786" s="5"/>
    </row>
    <row r="787" spans="20:21" ht="14.25" customHeight="1" x14ac:dyDescent="0.35">
      <c r="T787" s="5"/>
      <c r="U787" s="5"/>
    </row>
    <row r="788" spans="20:21" ht="14.25" customHeight="1" x14ac:dyDescent="0.35">
      <c r="T788" s="5"/>
      <c r="U788" s="5"/>
    </row>
    <row r="789" spans="20:21" ht="14.25" customHeight="1" x14ac:dyDescent="0.35">
      <c r="T789" s="5"/>
      <c r="U789" s="5"/>
    </row>
    <row r="790" spans="20:21" ht="14.25" customHeight="1" x14ac:dyDescent="0.35">
      <c r="T790" s="5"/>
      <c r="U790" s="5"/>
    </row>
    <row r="791" spans="20:21" ht="14.25" customHeight="1" x14ac:dyDescent="0.35">
      <c r="T791" s="5"/>
      <c r="U791" s="5"/>
    </row>
    <row r="792" spans="20:21" ht="14.25" customHeight="1" x14ac:dyDescent="0.35">
      <c r="T792" s="5"/>
      <c r="U792" s="5"/>
    </row>
    <row r="793" spans="20:21" ht="14.25" customHeight="1" x14ac:dyDescent="0.35">
      <c r="T793" s="5"/>
      <c r="U793" s="5"/>
    </row>
    <row r="794" spans="20:21" ht="14.25" customHeight="1" x14ac:dyDescent="0.35">
      <c r="T794" s="5"/>
      <c r="U794" s="5"/>
    </row>
    <row r="795" spans="20:21" ht="14.25" customHeight="1" x14ac:dyDescent="0.35">
      <c r="T795" s="5"/>
      <c r="U795" s="5"/>
    </row>
    <row r="796" spans="20:21" ht="14.25" customHeight="1" x14ac:dyDescent="0.35">
      <c r="T796" s="5"/>
      <c r="U796" s="5"/>
    </row>
    <row r="797" spans="20:21" ht="14.25" customHeight="1" x14ac:dyDescent="0.35">
      <c r="T797" s="5"/>
      <c r="U797" s="5"/>
    </row>
    <row r="798" spans="20:21" ht="14.25" customHeight="1" x14ac:dyDescent="0.35">
      <c r="T798" s="5"/>
      <c r="U798" s="5"/>
    </row>
    <row r="799" spans="20:21" ht="14.25" customHeight="1" x14ac:dyDescent="0.35">
      <c r="T799" s="5"/>
      <c r="U799" s="5"/>
    </row>
    <row r="800" spans="20:21" ht="14.25" customHeight="1" x14ac:dyDescent="0.35">
      <c r="T800" s="5"/>
      <c r="U800" s="5"/>
    </row>
    <row r="801" spans="20:21" ht="14.25" customHeight="1" x14ac:dyDescent="0.35">
      <c r="T801" s="5"/>
      <c r="U801" s="5"/>
    </row>
    <row r="802" spans="20:21" ht="14.25" customHeight="1" x14ac:dyDescent="0.35">
      <c r="T802" s="5"/>
      <c r="U802" s="5"/>
    </row>
    <row r="803" spans="20:21" ht="14.25" customHeight="1" x14ac:dyDescent="0.35">
      <c r="T803" s="5"/>
      <c r="U803" s="5"/>
    </row>
    <row r="804" spans="20:21" ht="14.25" customHeight="1" x14ac:dyDescent="0.35">
      <c r="T804" s="5"/>
      <c r="U804" s="5"/>
    </row>
    <row r="805" spans="20:21" ht="14.25" customHeight="1" x14ac:dyDescent="0.35">
      <c r="T805" s="5"/>
      <c r="U805" s="5"/>
    </row>
    <row r="806" spans="20:21" ht="14.25" customHeight="1" x14ac:dyDescent="0.35">
      <c r="T806" s="5"/>
      <c r="U806" s="5"/>
    </row>
    <row r="807" spans="20:21" ht="14.25" customHeight="1" x14ac:dyDescent="0.35">
      <c r="T807" s="5"/>
      <c r="U807" s="5"/>
    </row>
    <row r="808" spans="20:21" ht="14.25" customHeight="1" x14ac:dyDescent="0.35">
      <c r="T808" s="5"/>
      <c r="U808" s="5"/>
    </row>
    <row r="809" spans="20:21" ht="14.25" customHeight="1" x14ac:dyDescent="0.35">
      <c r="T809" s="5"/>
      <c r="U809" s="5"/>
    </row>
    <row r="810" spans="20:21" ht="14.25" customHeight="1" x14ac:dyDescent="0.35">
      <c r="T810" s="5"/>
      <c r="U810" s="5"/>
    </row>
    <row r="811" spans="20:21" ht="14.25" customHeight="1" x14ac:dyDescent="0.35">
      <c r="T811" s="5"/>
      <c r="U811" s="5"/>
    </row>
    <row r="812" spans="20:21" ht="14.25" customHeight="1" x14ac:dyDescent="0.35">
      <c r="T812" s="5"/>
      <c r="U812" s="5"/>
    </row>
    <row r="813" spans="20:21" ht="14.25" customHeight="1" x14ac:dyDescent="0.35">
      <c r="T813" s="5"/>
      <c r="U813" s="5"/>
    </row>
    <row r="814" spans="20:21" ht="14.25" customHeight="1" x14ac:dyDescent="0.35">
      <c r="T814" s="5"/>
      <c r="U814" s="5"/>
    </row>
    <row r="815" spans="20:21" ht="14.25" customHeight="1" x14ac:dyDescent="0.35">
      <c r="T815" s="5"/>
      <c r="U815" s="5"/>
    </row>
    <row r="816" spans="20:21" ht="14.25" customHeight="1" x14ac:dyDescent="0.35">
      <c r="T816" s="5"/>
      <c r="U816" s="5"/>
    </row>
    <row r="817" spans="20:21" ht="14.25" customHeight="1" x14ac:dyDescent="0.35">
      <c r="T817" s="5"/>
      <c r="U817" s="5"/>
    </row>
    <row r="818" spans="20:21" ht="14.25" customHeight="1" x14ac:dyDescent="0.35">
      <c r="T818" s="5"/>
      <c r="U818" s="5"/>
    </row>
    <row r="819" spans="20:21" ht="14.25" customHeight="1" x14ac:dyDescent="0.35">
      <c r="T819" s="5"/>
      <c r="U819" s="5"/>
    </row>
    <row r="820" spans="20:21" ht="14.25" customHeight="1" x14ac:dyDescent="0.35">
      <c r="T820" s="5"/>
      <c r="U820" s="5"/>
    </row>
    <row r="821" spans="20:21" ht="14.25" customHeight="1" x14ac:dyDescent="0.35">
      <c r="T821" s="5"/>
      <c r="U821" s="5"/>
    </row>
    <row r="822" spans="20:21" ht="14.25" customHeight="1" x14ac:dyDescent="0.35">
      <c r="T822" s="5"/>
      <c r="U822" s="5"/>
    </row>
    <row r="823" spans="20:21" ht="14.25" customHeight="1" x14ac:dyDescent="0.35">
      <c r="T823" s="5"/>
      <c r="U823" s="5"/>
    </row>
    <row r="824" spans="20:21" ht="14.25" customHeight="1" x14ac:dyDescent="0.35">
      <c r="T824" s="5"/>
      <c r="U824" s="5"/>
    </row>
    <row r="825" spans="20:21" ht="14.25" customHeight="1" x14ac:dyDescent="0.35">
      <c r="T825" s="5"/>
      <c r="U825" s="5"/>
    </row>
    <row r="826" spans="20:21" ht="14.25" customHeight="1" x14ac:dyDescent="0.35">
      <c r="T826" s="5"/>
      <c r="U826" s="5"/>
    </row>
    <row r="827" spans="20:21" ht="14.25" customHeight="1" x14ac:dyDescent="0.35">
      <c r="T827" s="5"/>
      <c r="U827" s="5"/>
    </row>
    <row r="828" spans="20:21" ht="14.25" customHeight="1" x14ac:dyDescent="0.35">
      <c r="T828" s="5"/>
      <c r="U828" s="5"/>
    </row>
    <row r="829" spans="20:21" ht="14.25" customHeight="1" x14ac:dyDescent="0.35">
      <c r="T829" s="5"/>
      <c r="U829" s="5"/>
    </row>
    <row r="830" spans="20:21" ht="14.25" customHeight="1" x14ac:dyDescent="0.35">
      <c r="T830" s="5"/>
      <c r="U830" s="5"/>
    </row>
    <row r="831" spans="20:21" ht="14.25" customHeight="1" x14ac:dyDescent="0.35">
      <c r="T831" s="5"/>
      <c r="U831" s="5"/>
    </row>
    <row r="832" spans="20:21" ht="14.25" customHeight="1" x14ac:dyDescent="0.35">
      <c r="T832" s="5"/>
      <c r="U832" s="5"/>
    </row>
    <row r="833" spans="20:21" ht="14.25" customHeight="1" x14ac:dyDescent="0.35">
      <c r="T833" s="5"/>
      <c r="U833" s="5"/>
    </row>
    <row r="834" spans="20:21" ht="14.25" customHeight="1" x14ac:dyDescent="0.35">
      <c r="T834" s="5"/>
      <c r="U834" s="5"/>
    </row>
    <row r="835" spans="20:21" ht="14.25" customHeight="1" x14ac:dyDescent="0.35">
      <c r="T835" s="5"/>
      <c r="U835" s="5"/>
    </row>
    <row r="836" spans="20:21" ht="14.25" customHeight="1" x14ac:dyDescent="0.35">
      <c r="T836" s="5"/>
      <c r="U836" s="5"/>
    </row>
    <row r="837" spans="20:21" ht="14.25" customHeight="1" x14ac:dyDescent="0.35">
      <c r="T837" s="5"/>
      <c r="U837" s="5"/>
    </row>
    <row r="838" spans="20:21" ht="14.25" customHeight="1" x14ac:dyDescent="0.35">
      <c r="T838" s="5"/>
      <c r="U838" s="5"/>
    </row>
    <row r="839" spans="20:21" ht="14.25" customHeight="1" x14ac:dyDescent="0.35">
      <c r="T839" s="5"/>
      <c r="U839" s="5"/>
    </row>
    <row r="840" spans="20:21" ht="14.25" customHeight="1" x14ac:dyDescent="0.35">
      <c r="T840" s="5"/>
      <c r="U840" s="5"/>
    </row>
    <row r="841" spans="20:21" ht="14.25" customHeight="1" x14ac:dyDescent="0.35">
      <c r="T841" s="5"/>
      <c r="U841" s="5"/>
    </row>
    <row r="842" spans="20:21" ht="14.25" customHeight="1" x14ac:dyDescent="0.35">
      <c r="T842" s="5"/>
      <c r="U842" s="5"/>
    </row>
    <row r="843" spans="20:21" ht="14.25" customHeight="1" x14ac:dyDescent="0.35">
      <c r="T843" s="5"/>
      <c r="U843" s="5"/>
    </row>
    <row r="844" spans="20:21" ht="14.25" customHeight="1" x14ac:dyDescent="0.35">
      <c r="T844" s="5"/>
      <c r="U844" s="5"/>
    </row>
    <row r="845" spans="20:21" ht="14.25" customHeight="1" x14ac:dyDescent="0.35">
      <c r="T845" s="5"/>
      <c r="U845" s="5"/>
    </row>
    <row r="846" spans="20:21" ht="14.25" customHeight="1" x14ac:dyDescent="0.35">
      <c r="T846" s="5"/>
      <c r="U846" s="5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9">
    <dataValidation type="list" allowBlank="1" showErrorMessage="1" sqref="O6:O58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6:AO58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P6:P58">
      <formula1>"Primary,Secondary - evidence synthesis,Secondary - other,Unclear"</formula1>
    </dataValidation>
    <dataValidation type="list" allowBlank="1" showErrorMessage="1" sqref="Q6:Q58">
      <formula1>"Experimental ex-situ,Experimental in-situ,Expert opinion,Method or technology development,Observational,Mathematical prediction/simulation,Social primary,Other,Unclear,NA"</formula1>
    </dataValidation>
    <dataValidation type="list" allowBlank="1" showErrorMessage="1" sqref="J6:J58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U6:U58">
      <formula1>"Forecast,Modern (1900-2023),Pre-industrial (1850 -1900), Before pre-ind (&lt;1850),Unclear,NA"</formula1>
    </dataValidation>
    <dataValidation type="list" allowBlank="1" showErrorMessage="1" sqref="AK6:AK58">
      <formula1>"TRUE,FALSE"</formula1>
    </dataValidation>
    <dataValidation type="list" allowBlank="1" showErrorMessage="1" sqref="X6:X58">
      <formula1>"Human,Natural,Both,NA"</formula1>
    </dataValidation>
    <dataValidation type="list" allowBlank="1" showErrorMessage="1" sqref="R6:R58">
      <formula1>"Pacific,Atlantic,Indian,Southern,Arctic,Mediterranean or Black Sea,Global,Unclear,NA"</formula1>
    </dataValidation>
    <dataValidation type="list" allowBlank="1" showErrorMessage="1" sqref="S6:S58">
      <formula1>"Salt marsh,Mangrove,Wetland - other,Oyster reef,Coral reef,Macroalgae,Seagrass,Blue carbon - other,Other,NA"</formula1>
    </dataValidation>
    <dataValidation type="list" allowBlank="1" showErrorMessage="1" sqref="V6:V58">
      <formula1>"Micro,Small,Local,Regional,Large,Global,Unclear,NA"</formula1>
    </dataValidation>
    <dataValidation type="list" allowBlank="1" showInputMessage="1" showErrorMessage="1" sqref="N6:N58">
      <formula1>"Inorganic,Organic,Deep sediments, Unclear,NA"</formula1>
    </dataValidation>
    <dataValidation type="list" allowBlank="1" showInputMessage="1" showErrorMessage="1" sqref="AL6:AN58 W6:W58 F6:F58 AC6:AJ58 Y6:Y58">
      <formula1>"TRUE,FALSE"</formula1>
    </dataValidation>
    <dataValidation type="list" allowBlank="1" showErrorMessage="1" sqref="T6:T58">
      <formula1>"Estuary,Land (coastal),Coastal ocean,Oceanic: open-ocean (&lt;=200 m),Oceanic: deep-ocean (&gt; 200 m),Unclear,NA"</formula1>
    </dataValidation>
    <dataValidation type="list" allowBlank="1" showInputMessage="1" showErrorMessage="1" sqref="M6:M58">
      <formula1>"Bioenergy,Open-ocean PP,Macroalgae (kelp) cultivation,Microalgae cultivation,Weathering and alkinalization,Coastal blue carbon ecosystems,Other,NA"</formula1>
    </dataValidation>
    <dataValidation type="list" allowBlank="1" showInputMessage="1" showErrorMessage="1" sqref="K6:K58">
      <formula1>"Design - observe/concept/preliminary testing/side effects,Evaluating future placement/upscaling potential,Pilot demo,Implemented (+continued assessment),Unclear,NA"</formula1>
    </dataValidation>
    <dataValidation type="list" allowBlank="1" showInputMessage="1" showErrorMessage="1" sqref="Z6:Z58">
      <formula1>"Regulating,Material,Non-material,NA"</formula1>
    </dataValidation>
    <dataValidation type="list" allowBlank="1" showInputMessage="1" showErrorMessage="1" sqref="AA6:AA58 L6:L58">
      <formula1>"Fisheries,Aquaculture,Pharmaceuticals,Shipping,Port infrastructure,Tourism &amp; Recreation,Coastal development,Seabed mining/oil &amp; gas,Renewable energy,Informal,Livelihood,Other,NA"</formula1>
    </dataValidation>
    <dataValidation type="list" allowBlank="1" showInputMessage="1" showErrorMessage="1" sqref="AB6:AB58">
      <formula1>"M. Renewables,M. Increase efficiency,M. CO2 removal or storage,N. Human assisted evolution,N. Protection,N. Restoration,SA. Built infrastructure and technology,SA. Socio-institutional,Unclear,NA"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2023-04-25T15:43:59Z</dcterms:modified>
  <cp:category/>
  <cp:contentStatus/>
</cp:coreProperties>
</file>